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" sheetId="1" state="visible" r:id="rId3"/>
    <sheet name="1_Response Summary" sheetId="2" state="visible" r:id="rId4"/>
    <sheet name="2_Item Detail" sheetId="3" state="visible" r:id="rId5"/>
    <sheet name="3_Step-by-Step" sheetId="4" state="visible" r:id="rId6"/>
    <sheet name="4_Open Items" sheetId="5" state="visible" r:id="rId7"/>
    <sheet name="5_Follow-up Email" sheetId="6" state="visible" r:id="rId8"/>
    <sheet name="6_Sources" sheetId="7" state="visible" r:id="rId9"/>
    <sheet name="Holidays" sheetId="8" state="visible" r:id="rId10"/>
  </sheets>
  <definedNames>
    <definedName function="false" hidden="true" localSheetId="2" name="_xlnm._FilterDatabase" vbProcedure="false">'2_Item Detail'!$A$3:$R$62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<sst xmlns="http://schemas.openxmlformats.org/spreadsheetml/2006/main" count="1200" uniqueCount="385">
  <si>
    <t xml:space="preserve">BSI.IT.27.C7 - evaluation of the management response (C7.Sample.xlsx) to the A6 / A5 sample request - 10 accounts</t>
  </si>
  <si>
    <t xml:space="preserve">#</t>
  </si>
  <si>
    <t xml:space="preserve">Account</t>
  </si>
  <si>
    <t xml:space="preserve">Name</t>
  </si>
  <si>
    <t xml:space="preserve">Tested for</t>
  </si>
  <si>
    <t xml:space="preserve">Certification decision (decision date)</t>
  </si>
  <si>
    <t xml:space="preserve">Decision date</t>
  </si>
  <si>
    <t xml:space="preserve">Access removed (date)</t>
  </si>
  <si>
    <t xml:space="preserve">Business days to removal</t>
  </si>
  <si>
    <t xml:space="preserve">SLA deadline (30 business days)</t>
  </si>
  <si>
    <t xml:space="preserve">Removed within 30-business-day SLA?</t>
  </si>
  <si>
    <t xml:space="preserve">Next decision: 2026 Q1</t>
  </si>
  <si>
    <t xml:space="preserve">2026 Q2 SOX Manager cert (sample file)</t>
  </si>
  <si>
    <t xml:space="preserve">2026 Q2 CyberArk Manager cert (sample file)</t>
  </si>
  <si>
    <t xml:space="preserve">Privileged network / PAM access still held in 2026 Q2</t>
  </si>
  <si>
    <t xml:space="preserve">IAMS Termination Date (2026 Q2 export)</t>
  </si>
  <si>
    <t xml:space="preserve">AD status - prior extracts</t>
  </si>
  <si>
    <t xml:space="preserve">AD enabled 10/10/2026 (sample file)</t>
  </si>
  <si>
    <t xml:space="preserve">Access remained removed after remediation?</t>
  </si>
  <si>
    <t xml:space="preserve">Evidence in the sample file</t>
  </si>
  <si>
    <t xml:space="preserve">Evidence still missing</t>
  </si>
  <si>
    <t xml:space="preserve">Conclusion</t>
  </si>
  <si>
    <t xml:space="preserve">MIA25142</t>
  </si>
  <si>
    <t xml:space="preserve">Miguel Nieves Nieves</t>
  </si>
  <si>
    <t xml:space="preserve">A6 Revocation within SLA</t>
  </si>
  <si>
    <t xml:space="preserve">Revoked 08/28/2025 (2025 Q3, Borges, Dayam) - Cisco Network Administrators, ISEAdmin</t>
  </si>
  <si>
    <t xml:space="preserve">Approved 04/30/2026 (re-granted, E3)</t>
  </si>
  <si>
    <t xml:space="preserve">Approved - 3 rows - Borges, Dayam 7/27/26, 12:45 PM (rows 98-100)</t>
  </si>
  <si>
    <t xml:space="preserve">Approved - 3 rows - Borges, Dayam 8/17/26, 9:23 AM (rows 431-433)</t>
  </si>
  <si>
    <t xml:space="preserve">Alero_Consultant_MIA25142; CISCO NETWORK ADMINISTRATORS; CYBERARK_ALERO_USERS; ISEADMIN; CyberArk Owner cert: 12 safe rows for its Alero safe (Heredia, Evelio Alejandro, 8/27/26)</t>
  </si>
  <si>
    <t xml:space="preserve">2024-12-31</t>
  </si>
  <si>
    <t xml:space="preserve">Enabled; member again in AD 11/25/2025</t>
  </si>
  <si>
    <t xml:space="preserve">True (Oct10_2026Users row 1621)</t>
  </si>
  <si>
    <t xml:space="preserve">No - present again in AD 11/25/2025, re-approved 04/30/2026 and still certified (Approved) in the 2026 Q2 SOX and CyberArk Manager certifications in the sample file</t>
  </si>
  <si>
    <t xml:space="preserve">C7.Sample.xlsx: SAMPLE tab screenshots; 2026Q2PamBsiSox-Manager; 2026Q2BsiPamCyberark-Manager; Oct10_2026Users row 1621; Screenshot tab (Get-ADUser export command).</t>
  </si>
  <si>
    <t xml:space="preserve">Netwrix "member removed" log for the 2025 Q3 revocation (only in prior-period evidence); Netwrix / AD audit "member added" event and the approved ServiceNow access request for the re-grant (between the removal date and 11/25/2025); ServiceNow revocation ticket; AD group-membership extract (Get-ADGroupMember) - the 10/10/2026 extract has no group data</t>
  </si>
  <si>
    <t xml:space="preserve">MIA25172</t>
  </si>
  <si>
    <t xml:space="preserve">Juan Hernandez Ruiz</t>
  </si>
  <si>
    <t xml:space="preserve">Revoked 08/28/2025 (2025 Q3, Borges, Dayam) - Cisco Network Administrators</t>
  </si>
  <si>
    <t xml:space="preserve">Approved - 3 rows - Borges, Dayam 7/27/26, 12:45 PM (rows 140-142)</t>
  </si>
  <si>
    <t xml:space="preserve">Approved - 2 rows - Borges, Dayam 8/17/26, 9:23 AM (rows 467-468)</t>
  </si>
  <si>
    <t xml:space="preserve">CISCO NETWORK ADMINISTRATORS; CYBERARK_ALERO_USERS; ISEADMIN; CyberArk Owner cert: 12 safe rows for its Alero safe (Heredia, Evelio Alejandro, 8/27/26)</t>
  </si>
  <si>
    <t xml:space="preserve">-</t>
  </si>
  <si>
    <t xml:space="preserve">True (Oct10_2026Users row 1643)</t>
  </si>
  <si>
    <t xml:space="preserve">C7.Sample.xlsx: SAMPLE tab screenshots; 2026Q2PamBsiSox-Manager; 2026Q2BsiPamCyberark-Manager; Oct10_2026Users row 1643; Screenshot tab (Get-ADUser export command).</t>
  </si>
  <si>
    <t xml:space="preserve">MIA25175</t>
  </si>
  <si>
    <t xml:space="preserve">Carlos Hernandez Acevedo</t>
  </si>
  <si>
    <t xml:space="preserve">Approved - 3 rows - Borges, Dayam 7/27/26, 12:45 PM (rows 143-145)</t>
  </si>
  <si>
    <t xml:space="preserve">Approved - 3 rows - Borges, Dayam 8/17/26, 9:23 AM (rows 469-471)</t>
  </si>
  <si>
    <t xml:space="preserve">Alero_Consultant_MIA25175; CISCO NETWORK ADMINISTRATORS; CYBERARK_ALERO_USERS; ISEADMIN; CyberArk Owner cert: 12 safe rows for its Alero safe (Heredia, Evelio Alejandro, 8/27/26)</t>
  </si>
  <si>
    <t xml:space="preserve">True (Oct10_2026Users row 1644)</t>
  </si>
  <si>
    <t xml:space="preserve">C7.Sample.xlsx: SAMPLE tab screenshots; 2026Q2PamBsiSox-Manager; 2026Q2BsiPamCyberark-Manager; Oct10_2026Users row 1644; Screenshot tab (Get-ADUser export command).</t>
  </si>
  <si>
    <t xml:space="preserve">X453396</t>
  </si>
  <si>
    <t xml:space="preserve">Juan Fernando Perez Peralta</t>
  </si>
  <si>
    <t xml:space="preserve">Approved - 3 rows - Borges, Dayam 7/27/26, 12:45 PM (rows 110-112)</t>
  </si>
  <si>
    <t xml:space="preserve">Approved - 3 rows - Borges, Dayam 8/17/26, 9:23 AM (rows 443-445)</t>
  </si>
  <si>
    <t xml:space="preserve">Alero_Protect-x453396; CISCO NETWORK ADMINISTRATORS; CYBERARK_ALERO_USERS; ISEADMIN; CyberArk Owner cert: 12 safe rows for its Alero safe (Heredia, Evelio Alejandro, 8/27/26)</t>
  </si>
  <si>
    <t xml:space="preserve">True (Oct10_2026Users row 1835)</t>
  </si>
  <si>
    <t xml:space="preserve">C7.Sample.xlsx: SAMPLE tab screenshots; 2026Q2PamBsiSox-Manager; 2026Q2BsiPamCyberark-Manager; Oct10_2026Users row 1835; Screenshot tab (Get-ADUser export command).</t>
  </si>
  <si>
    <t xml:space="preserve">MIA25103</t>
  </si>
  <si>
    <t xml:space="preserve">Ivan Ramirez Gonzalez</t>
  </si>
  <si>
    <t xml:space="preserve">A5 / supporting - account status</t>
  </si>
  <si>
    <t xml:space="preserve">Approved 08/28/2025 (2025 Q3, Borges, Dayam)</t>
  </si>
  <si>
    <t xml:space="preserve">N/A</t>
  </si>
  <si>
    <t xml:space="preserve">N/A - not revoked</t>
  </si>
  <si>
    <t xml:space="preserve">N/A - no revocation decision</t>
  </si>
  <si>
    <t xml:space="preserve">Approved 04/30/2026</t>
  </si>
  <si>
    <t xml:space="preserve">Approved - 3 rows - Borges, Dayam 7/27/26, 12:45 PM (rows 86-88)</t>
  </si>
  <si>
    <t xml:space="preserve">Approved - 3 rows - Borges, Dayam 8/17/26, 9:23 AM (rows 419-421)</t>
  </si>
  <si>
    <t xml:space="preserve">Alero_Consultant_MIA25103; CISCO NETWORK ADMINISTRATORS; CYBERARK_ALERO_USERS; ISEADMIN; CyberArk Owner cert: 12 safe rows for its Alero safe (Heredia, Evelio Alejandro, 8/27/26)</t>
  </si>
  <si>
    <t xml:space="preserve">Disabled 11/25/2025 and 05/15/2026 (last logon 10/15/2023)</t>
  </si>
  <si>
    <t xml:space="preserve">False (Oct10_2026Users row 1598)</t>
  </si>
  <si>
    <t xml:space="preserve">N/A - never revoked (Approved in 2025 Q3, 2026 Q1 and 2026 Q2)</t>
  </si>
  <si>
    <t xml:space="preserve">C7.Sample.xlsx: SAMPLE tab screenshots; 2026Q2PamBsiSox-Manager; 2026Q2BsiPamCyberark-Manager; Oct10_2026Users row 1598; Screenshot tab (Get-ADUser export command).</t>
  </si>
  <si>
    <t xml:space="preserve">HR / vendor contract evidence that the engagement was active on each decision date (IAMS shows termination 12/31/2024); rationale for approving terminated / AD-disabled identities; AD audit (whenChanged / Netwrix) for the enable / disable history; ServiceNow ticket or exception record; group-membership extract</t>
  </si>
  <si>
    <t xml:space="preserve">Exception (A5 - E1, E2) NOT cleared. Account is disabled in AD (11/25/2025, 05/15/2026 and 10/10/2026), yet its Cisco Network Administrators / ISEAdmin access was approved again in 2026 Q2 (7/27/2026, 8/17/2026). IAMS termination 12/31/2024. No revocation raised.</t>
  </si>
  <si>
    <t xml:space="preserve">MIA25104</t>
  </si>
  <si>
    <t xml:space="preserve">Jefferson Paez Venegas</t>
  </si>
  <si>
    <t xml:space="preserve">Approved - 3 rows - Borges, Dayam 7/27/26, 12:45 PM (rows 89-91)</t>
  </si>
  <si>
    <t xml:space="preserve">Approved - 3 rows - Borges, Dayam 8/17/26, 9:23 AM (rows 422-424)</t>
  </si>
  <si>
    <t xml:space="preserve">Alero_Consultant_MIA25104; CISCO NETWORK ADMINISTRATORS; CYBERARK_ALERO_USERS; ISEADMIN; CyberArk Owner cert: 12 safe rows for its Alero safe (Heredia, Evelio Alejandro, 8/27/26)</t>
  </si>
  <si>
    <t xml:space="preserve">Enabled 11/25/2025 and 05/15/2026</t>
  </si>
  <si>
    <t xml:space="preserve">True (Oct10_2026Users row 1596)</t>
  </si>
  <si>
    <t xml:space="preserve">C7.Sample.xlsx: SAMPLE tab screenshots; 2026Q2PamBsiSox-Manager; 2026Q2BsiPamCyberark-Manager; Oct10_2026Users row 1596; Screenshot tab (Get-ADUser export command).</t>
  </si>
  <si>
    <t xml:space="preserve">Exception (A5 - E2) NOT cleared. Access was approved, not revoked, so there is no removal or SLA to test. IAMS still shows termination 12/31/2024 in 2026 Q2 and the access was re-approved.</t>
  </si>
  <si>
    <t xml:space="preserve">MIA25105</t>
  </si>
  <si>
    <t xml:space="preserve">David Serrano Aguirre</t>
  </si>
  <si>
    <t xml:space="preserve">Approved - 3 rows - Borges, Dayam 7/27/26, 12:45 PM (rows 92-94)</t>
  </si>
  <si>
    <t xml:space="preserve">Approved - 3 rows - Borges, Dayam 8/17/26, 9:23 AM (rows 425-427)</t>
  </si>
  <si>
    <t xml:space="preserve">Alero_Consultant_MIA25105; CISCO NETWORK ADMINISTRATORS; CYBERARK_ALERO_USERS; ISEADMIN; CyberArk Owner cert: 12 safe rows for its Alero safe (Heredia, Evelio Alejandro, 8/27/26)</t>
  </si>
  <si>
    <t xml:space="preserve">True (Oct10_2026Users row 1599)</t>
  </si>
  <si>
    <t xml:space="preserve">C7.Sample.xlsx: SAMPLE tab screenshots; 2026Q2PamBsiSox-Manager; 2026Q2BsiPamCyberark-Manager; Oct10_2026Users row 1599; Screenshot tab (Get-ADUser export command).</t>
  </si>
  <si>
    <t xml:space="preserve">MIA25106</t>
  </si>
  <si>
    <t xml:space="preserve">Maiko Vazquez Arias</t>
  </si>
  <si>
    <t xml:space="preserve">Approved - 3 rows - Borges, Dayam 7/27/26, 12:45 PM (rows 95-97)</t>
  </si>
  <si>
    <t xml:space="preserve">Approved - 3 rows - Borges, Dayam 8/17/26, 9:23 AM (rows 428-430)</t>
  </si>
  <si>
    <t xml:space="preserve">Alero_Consultant_MIA25106; CISCO NETWORK ADMINISTRATORS; CYBERARK_ALERO_USERS; ISEADMIN; CyberArk Owner cert: 12 safe rows for its Alero safe (Heredia, Evelio Alejandro, 8/27/26)</t>
  </si>
  <si>
    <t xml:space="preserve">True (Oct10_2026Users row 1597)</t>
  </si>
  <si>
    <t xml:space="preserve">C7.Sample.xlsx: SAMPLE tab screenshots; 2026Q2PamBsiSox-Manager; 2026Q2BsiPamCyberark-Manager; Oct10_2026Users row 1597; Screenshot tab (Get-ADUser export command).</t>
  </si>
  <si>
    <t xml:space="preserve">MIA25249</t>
  </si>
  <si>
    <t xml:space="preserve">Richard Harris</t>
  </si>
  <si>
    <t xml:space="preserve">Approved - 3 rows - Borges, Dayam 7/27/26, 12:45 PM (rows 104-106)</t>
  </si>
  <si>
    <t xml:space="preserve">Approved - 3 rows - Borges, Dayam 8/17/26, 9:23 AM (rows 437-439)</t>
  </si>
  <si>
    <t xml:space="preserve">Alero_Consultant_MIA25249; CISCO NETWORK ADMINISTRATORS; CYBERARK_ALERO_USERS; ISEADMIN; CyberArk Owner cert: 12 safe rows for its Alero safe (Heredia, Evelio Alejandro, 8/27/26)</t>
  </si>
  <si>
    <t xml:space="preserve">Enabled 11/25/2025; DISABLED 05/15/2026 (changed 04/02/2026)</t>
  </si>
  <si>
    <t xml:space="preserve">True (Oct10_2026Users row 1787)</t>
  </si>
  <si>
    <t xml:space="preserve">C7.Sample.xlsx: SAMPLE tab screenshots; 2026Q2PamBsiSox-Manager; 2026Q2BsiPamCyberark-Manager; Oct10_2026Users row 1787; Screenshot tab (Get-ADUser export command).</t>
  </si>
  <si>
    <t xml:space="preserve">Exception (A5 - E2) NOT cleared. Access was approved, not revoked, so there is no removal or SLA to test. IAMS still shows termination 12/31/2024 in 2026 Q2 and the access was re-approved. AD shows the account disabled on 05/15/2026 and ENABLED again on 10/10/2026 - re-enable not explained or evidenced.</t>
  </si>
  <si>
    <t xml:space="preserve">MIA25250</t>
  </si>
  <si>
    <t xml:space="preserve">Kevin Ackley</t>
  </si>
  <si>
    <t xml:space="preserve">Approved - 3 rows - Borges, Dayam 7/27/26, 12:45 PM (rows 101-103)</t>
  </si>
  <si>
    <t xml:space="preserve">Approved - 3 rows - Borges, Dayam 8/17/26, 9:23 AM (rows 434-436)</t>
  </si>
  <si>
    <t xml:space="preserve">Alero_Protect-MIA25250; CISCO NETWORK ADMINISTRATORS; CYBERARK_ALERO_USERS; ISEADMIN; CyberArk Owner cert: 12 safe rows for its Alero safe (Heredia, Evelio Alejandro, 8/27/26)</t>
  </si>
  <si>
    <t xml:space="preserve">Enabled 11/25/2025; DISABLED 05/15/2026 (changed 04/03/2026)</t>
  </si>
  <si>
    <t xml:space="preserve">True (Oct10_2026Users row 1785)</t>
  </si>
  <si>
    <t xml:space="preserve">C7.Sample.xlsx: SAMPLE tab screenshots; 2026Q2PamBsiSox-Manager; 2026Q2BsiPamCyberark-Manager; Oct10_2026Users row 1785; Screenshot tab (Get-ADUser export command).</t>
  </si>
  <si>
    <t xml:space="preserve">Exception (A5 - E2) NOT cleared. Access was approved, not revoked, so there is no removal or SLA to test. IAMS still shows termination 12/31/2024 in 2026 Q2 and the access was re-approved. AD shows the account disabled on 05/15/2026 and ENABLED again on 10/10/2026 - re-enable not explained or evidenced. AD employeeID / employeeNumber blank on 10/10/2026; the SAMPLE tab hard-codes identity 100592068 instead of the VLOOKUP used for the other rows (A7 observation).</t>
  </si>
  <si>
    <t xml:space="preserve">Blue text = dates taken from the prior-period evidence (BSI.IT.27.C7.05 Testing Walkthrough tabs 4 / 5: 2025 Q3 SailPoint decision 08/28/2025 and Netwrix removal 09/02/2025 or 09/08/2025). They are NOT in C7.Sample.xlsx; they are restated so the SLA can be recalculated.</t>
  </si>
  <si>
    <t xml:space="preserve">Columns H-J are formulas: NETWORKDAYS / WORKDAY over the US bank holidays on the Holidays tab; SLA = 30 business days (IAM Standard v10.0 SUS.IAMS.4.2.5.21).</t>
  </si>
  <si>
    <t xml:space="preserve">Columns L-Q come from C7.Sample.xlsx (2026 Q2 PAM BSI SOX Manager certification launched 7/22/2026; 2026 Q2 PAM BSI CyberArk Manager certification launched 8/13/2026; AD user export Oct10_2026Users).</t>
  </si>
  <si>
    <t xml:space="preserve">Account Status = "Account Removed" appears on every row of all four 2026 Q2 exports (4,889 rows, including the 4,883 Approved rows), so it cannot be used as evidence of removal.</t>
  </si>
  <si>
    <t xml:space="preserve">Result counts</t>
  </si>
  <si>
    <t xml:space="preserve">Accounts tested</t>
  </si>
  <si>
    <t xml:space="preserve">A6 revocations removed within SLA (2025 Q3)</t>
  </si>
  <si>
    <t xml:space="preserve">A6 removals sustained</t>
  </si>
  <si>
    <t xml:space="preserve">Accounts with an exception not cleared</t>
  </si>
  <si>
    <t xml:space="preserve">Every 2026 Q2 certification row for the 10 sample accounts (account-holder rows, SOX Manager and CyberArk Manager certifications)</t>
  </si>
  <si>
    <t xml:space="preserve">Source tab (C7.Sample.xlsx)</t>
  </si>
  <si>
    <t xml:space="preserve">Source row</t>
  </si>
  <si>
    <t xml:space="preserve">Identity</t>
  </si>
  <si>
    <t xml:space="preserve">Identity DisplayName</t>
  </si>
  <si>
    <t xml:space="preserve">Entitlement Value</t>
  </si>
  <si>
    <t xml:space="preserve">Decision</t>
  </si>
  <si>
    <t xml:space="preserve">Revoke Completed</t>
  </si>
  <si>
    <t xml:space="preserve">Decision Maker</t>
  </si>
  <si>
    <t xml:space="preserve">Decision Date</t>
  </si>
  <si>
    <t xml:space="preserve">SignOff Date</t>
  </si>
  <si>
    <t xml:space="preserve">Termination Date (IAMS)</t>
  </si>
  <si>
    <t xml:space="preserve">Identity Inactive</t>
  </si>
  <si>
    <t xml:space="preserve">Account Status</t>
  </si>
  <si>
    <t xml:space="preserve">WorkItemID</t>
  </si>
  <si>
    <t xml:space="preserve">AD enabled 10/10/2026</t>
  </si>
  <si>
    <t xml:space="preserve">Self-review?</t>
  </si>
  <si>
    <t xml:space="preserve">Assessment</t>
  </si>
  <si>
    <t xml:space="preserve">2026Q2BsiPamCyberark-Manager</t>
  </si>
  <si>
    <t xml:space="preserve">Nieves Nieves, Miguel</t>
  </si>
  <si>
    <t xml:space="preserve">MIA25142 Nieves Nieves,Miguelhas privileged access to CyberArk safe: Alero_Consultant_MIA25142</t>
  </si>
  <si>
    <t xml:space="preserve">Approved</t>
  </si>
  <si>
    <t xml:space="preserve">Borges, Dayam</t>
  </si>
  <si>
    <t xml:space="preserve">8/17/26, 9:23 AM</t>
  </si>
  <si>
    <t xml:space="preserve">Account Removed</t>
  </si>
  <si>
    <t xml:space="preserve">No</t>
  </si>
  <si>
    <t xml:space="preserve">Exception: Approved although IAMS Termination Date 2024-12-31 (E2)</t>
  </si>
  <si>
    <t xml:space="preserve">MIA25142 Nieves Nieves,Miguel has privileged access to CyberArk safe: Network_Devices_Accounts via AD Group:Cisco Network Administrators</t>
  </si>
  <si>
    <t xml:space="preserve">Exception: Approved although IAMS Termination Date 2024-12-31 (E2); Access revoked 08/28/2025 is still held and approved again (E3 - removal not sustained)</t>
  </si>
  <si>
    <t xml:space="preserve">MIA25142 Nieves Nieves,Miguel has privileged access to CyberArk safe: Network_Devices_Accounts via AD Group:ISEAdmin</t>
  </si>
  <si>
    <t xml:space="preserve">2026Q2PamBsiSox-Manager</t>
  </si>
  <si>
    <t xml:space="preserve">MIA25142 HAS PRIVILEGED ACCESS TO SOX APPLICATIONS VIA THE MIA.USA.SINVEST ENTERPRISE WIDE DOMAIN GROUP CYBERARK_ALERO_USERS</t>
  </si>
  <si>
    <t xml:space="preserve">7/27/26, 12:45 PM</t>
  </si>
  <si>
    <t xml:space="preserve">MIA25142 HAS PRIVILEGED ACCESS TO SOX APPLICATIONS VIA THE MIA.USA.SINVEST ENTERPRISE WIDE DOMAIN GROUP CISCO NETWORK ADMINISTRATORS</t>
  </si>
  <si>
    <t xml:space="preserve">MIA25142 HAS PRIVILEGED ACCESS TO SOX APPLICATIONS VIA THE MIA.USA.SINVEST ENTERPRISE WIDE DOMAIN GROUP ISEADMIN</t>
  </si>
  <si>
    <t xml:space="preserve">Hernandez Ruiz, Juan</t>
  </si>
  <si>
    <t xml:space="preserve">MIA25172 Hernandez Ruiz,Juan has privileged access to CyberArk safe: Network_Devices_Accounts via AD Group:Cisco Network Administrators</t>
  </si>
  <si>
    <t xml:space="preserve">Exception: Access revoked 08/28/2025 is still held and approved again (E3 - removal not sustained)</t>
  </si>
  <si>
    <t xml:space="preserve">MIA25172 Hernandez Ruiz,Juan has privileged access to CyberArk safe: Network_Devices_Accounts via AD Group:ISEAdmin</t>
  </si>
  <si>
    <t xml:space="preserve">Approved - no exception noted for this entitlement</t>
  </si>
  <si>
    <t xml:space="preserve">MIA25172 HAS PRIVILEGED ACCESS TO SOX APPLICATIONS VIA THE MIA.USA.SINVEST ENTERPRISE WIDE DOMAIN GROUP CYBERARK_ALERO_USERS</t>
  </si>
  <si>
    <t xml:space="preserve">MIA25172 HAS PRIVILEGED ACCESS TO SOX APPLICATIONS VIA THE MIA.USA.SINVEST ENTERPRISE WIDE DOMAIN GROUP CISCO NETWORK ADMINISTRATORS</t>
  </si>
  <si>
    <t xml:space="preserve">MIA25172 HAS PRIVILEGED ACCESS TO SOX APPLICATIONS VIA THE MIA.USA.SINVEST ENTERPRISE WIDE DOMAIN GROUP ISEADMIN</t>
  </si>
  <si>
    <t xml:space="preserve">Hernandez Acevedo, Carlos</t>
  </si>
  <si>
    <t xml:space="preserve">MIA25175 Hernandez Acevedo,Carlos has privileged access to CyberArk safe: Network_Devices_Accounts via AD Group:Cisco Network Administrators</t>
  </si>
  <si>
    <t xml:space="preserve">MIA25175 Hernandez Acevedo,Carlos has privileged access to CyberArk safe: Network_Devices_Accounts via AD Group:ISEAdmin</t>
  </si>
  <si>
    <t xml:space="preserve">MIA25175 Hernandez Acevedo,Carloshas privileged access to CyberArk safe: Alero_Consultant_MIA25175</t>
  </si>
  <si>
    <t xml:space="preserve">MIA25175 HAS PRIVILEGED ACCESS TO SOX APPLICATIONS VIA THE MIA.USA.SINVEST ENTERPRISE WIDE DOMAIN GROUP CYBERARK_ALERO_USERS</t>
  </si>
  <si>
    <t xml:space="preserve">MIA25175 HAS PRIVILEGED ACCESS TO SOX APPLICATIONS VIA THE MIA.USA.SINVEST ENTERPRISE WIDE DOMAIN GROUP CISCO NETWORK ADMINISTRATORS</t>
  </si>
  <si>
    <t xml:space="preserve">MIA25175 HAS PRIVILEGED ACCESS TO SOX APPLICATIONS VIA THE MIA.USA.SINVEST ENTERPRISE WIDE DOMAIN GROUP ISEADMIN</t>
  </si>
  <si>
    <t xml:space="preserve">Perez Peralta, Juan Fernando</t>
  </si>
  <si>
    <t xml:space="preserve">x453396 Perez Peralta,Juan Fernandohas privileged access to CyberArk safe: Alero_Protect-x453396</t>
  </si>
  <si>
    <t xml:space="preserve">x453396 Perez Peralta,Juan Fernando has privileged access to CyberArk safe: Network_Devices_Accounts via AD Group:Cisco Network Administrators</t>
  </si>
  <si>
    <t xml:space="preserve">x453396 Perez Peralta,Juan Fernando has privileged access to CyberArk safe: Network_Devices_Accounts via AD Group:ISEAdmin</t>
  </si>
  <si>
    <t xml:space="preserve">X453396 HAS PRIVILEGED ACCESS TO SOX APPLICATIONS VIA THE MIA.USA.SINVEST ENTERPRISE WIDE DOMAIN GROUP CYBERARK_ALERO_USERS</t>
  </si>
  <si>
    <t xml:space="preserve">X453396 HAS PRIVILEGED ACCESS TO SOX APPLICATIONS VIA THE MIA.USA.SINVEST ENTERPRISE WIDE DOMAIN GROUP CISCO NETWORK ADMINISTRATORS</t>
  </si>
  <si>
    <t xml:space="preserve">X453396 HAS PRIVILEGED ACCESS TO SOX APPLICATIONS VIA THE MIA.USA.SINVEST ENTERPRISE WIDE DOMAIN GROUP ISEADMIN</t>
  </si>
  <si>
    <t xml:space="preserve">Ramirez Gonzalez, Ivan</t>
  </si>
  <si>
    <t xml:space="preserve">MIA25103 Ivan Ramirez Gonzalez has privileged access to CyberArk safe: Network_Devices_Accounts via AD Group:Cisco Network Administrators</t>
  </si>
  <si>
    <t xml:space="preserve">Exception: Approved although IAMS Termination Date 2024-12-31 (E2); Approved although AD account disabled (E1)</t>
  </si>
  <si>
    <t xml:space="preserve">MIA25103 Ivan Ramirez Gonzalez has privileged access to CyberArk safe: Network_Devices_Accounts via AD Group:ISEAdmin</t>
  </si>
  <si>
    <t xml:space="preserve">MIA25103 Ivan Ramirez Gonzalezhas privileged access to CyberArk safe: Alero_Consultant_MIA25103</t>
  </si>
  <si>
    <t xml:space="preserve">MIA25103 HAS PRIVILEGED ACCESS TO SOX APPLICATIONS VIA THE MIA.USA.SINVEST ENTERPRISE WIDE DOMAIN GROUP CYBERARK_ALERO_USERS</t>
  </si>
  <si>
    <t xml:space="preserve">MIA25103 HAS PRIVILEGED ACCESS TO SOX APPLICATIONS VIA THE MIA.USA.SINVEST ENTERPRISE WIDE DOMAIN GROUP CISCO NETWORK ADMINISTRATORS</t>
  </si>
  <si>
    <t xml:space="preserve">MIA25103 HAS PRIVILEGED ACCESS TO SOX APPLICATIONS VIA THE MIA.USA.SINVEST ENTERPRISE WIDE DOMAIN GROUP ISEADMIN</t>
  </si>
  <si>
    <t xml:space="preserve">Paez Venegas, Jefferson</t>
  </si>
  <si>
    <t xml:space="preserve">MIA25104 Paez Venegas,Jeffersonhas privileged access to CyberArk safe: Alero_Consultant_MIA25104</t>
  </si>
  <si>
    <t xml:space="preserve">MIA25104 Paez Venegas,Jefferson has privileged access to CyberArk safe: Network_Devices_Accounts via AD Group:Cisco Network Administrators</t>
  </si>
  <si>
    <t xml:space="preserve">MIA25104 Paez Venegas,Jefferson has privileged access to CyberArk safe: Network_Devices_Accounts via AD Group:ISEAdmin</t>
  </si>
  <si>
    <t xml:space="preserve">MIA25104 HAS PRIVILEGED ACCESS TO SOX APPLICATIONS VIA THE MIA.USA.SINVEST ENTERPRISE WIDE DOMAIN GROUP CYBERARK_ALERO_USERS</t>
  </si>
  <si>
    <t xml:space="preserve">MIA25104 HAS PRIVILEGED ACCESS TO SOX APPLICATIONS VIA THE MIA.USA.SINVEST ENTERPRISE WIDE DOMAIN GROUP CISCO NETWORK ADMINISTRATORS</t>
  </si>
  <si>
    <t xml:space="preserve">MIA25104 HAS PRIVILEGED ACCESS TO SOX APPLICATIONS VIA THE MIA.USA.SINVEST ENTERPRISE WIDE DOMAIN GROUP ISEADMIN</t>
  </si>
  <si>
    <t xml:space="preserve">Serrano Aguirre, David</t>
  </si>
  <si>
    <t xml:space="preserve">MIA25105 Serrano Aguirre,Davidhas privileged access to CyberArk safe: Alero_Consultant_MIA25105</t>
  </si>
  <si>
    <t xml:space="preserve">MIA25105 Serrano Aguirre,David has privileged access to CyberArk safe: Network_Devices_Accounts via AD Group:Cisco Network Administrators</t>
  </si>
  <si>
    <t xml:space="preserve">MIA25105 Serrano Aguirre,David has privileged access to CyberArk safe: Network_Devices_Accounts via AD Group:ISEAdmin</t>
  </si>
  <si>
    <t xml:space="preserve">MIA25105 HAS PRIVILEGED ACCESS TO SOX APPLICATIONS VIA THE MIA.USA.SINVEST ENTERPRISE WIDE DOMAIN GROUP CYBERARK_ALERO_USERS</t>
  </si>
  <si>
    <t xml:space="preserve">MIA25105 HAS PRIVILEGED ACCESS TO SOX APPLICATIONS VIA THE MIA.USA.SINVEST ENTERPRISE WIDE DOMAIN GROUP CISCO NETWORK ADMINISTRATORS</t>
  </si>
  <si>
    <t xml:space="preserve">MIA25105 HAS PRIVILEGED ACCESS TO SOX APPLICATIONS VIA THE MIA.USA.SINVEST ENTERPRISE WIDE DOMAIN GROUP ISEADMIN</t>
  </si>
  <si>
    <t xml:space="preserve">Vazquez Arias, Maiko</t>
  </si>
  <si>
    <t xml:space="preserve">MIA25106 Vazquez Arias,Maikohas privileged access to CyberArk safe: Alero_Consultant_MIA25106</t>
  </si>
  <si>
    <t xml:space="preserve">MIA25106 Vazquez Arias,Maiko has privileged access to CyberArk safe: Network_Devices_Accounts via AD Group:Cisco Network Administrators</t>
  </si>
  <si>
    <t xml:space="preserve">MIA25106 Vazquez Arias,Maiko has privileged access to CyberArk safe: Network_Devices_Accounts via AD Group:ISEAdmin</t>
  </si>
  <si>
    <t xml:space="preserve">MIA25106 HAS PRIVILEGED ACCESS TO SOX APPLICATIONS VIA THE MIA.USA.SINVEST ENTERPRISE WIDE DOMAIN GROUP CYBERARK_ALERO_USERS</t>
  </si>
  <si>
    <t xml:space="preserve">MIA25106 HAS PRIVILEGED ACCESS TO SOX APPLICATIONS VIA THE MIA.USA.SINVEST ENTERPRISE WIDE DOMAIN GROUP CISCO NETWORK ADMINISTRATORS</t>
  </si>
  <si>
    <t xml:space="preserve">MIA25106 HAS PRIVILEGED ACCESS TO SOX APPLICATIONS VIA THE MIA.USA.SINVEST ENTERPRISE WIDE DOMAIN GROUP ISEADMIN</t>
  </si>
  <si>
    <t xml:space="preserve">Harris, Richard</t>
  </si>
  <si>
    <t xml:space="preserve">MIA25249 Harris,Richardhas privileged access to CyberArk safe: Alero_Consultant_MIA25249</t>
  </si>
  <si>
    <t xml:space="preserve">MIA25249 Harris,Richard has privileged access to CyberArk safe: Network_Devices_Accounts via AD Group:Cisco Network Administrators</t>
  </si>
  <si>
    <t xml:space="preserve">MIA25249 Harris,Richard has privileged access to CyberArk safe: Network_Devices_Accounts via AD Group:ISEAdmin</t>
  </si>
  <si>
    <t xml:space="preserve">MIA25249 HAS PRIVILEGED ACCESS TO SOX APPLICATIONS VIA THE MIA.USA.SINVEST ENTERPRISE WIDE DOMAIN GROUP CYBERARK_ALERO_USERS</t>
  </si>
  <si>
    <t xml:space="preserve">MIA25249 HAS PRIVILEGED ACCESS TO SOX APPLICATIONS VIA THE MIA.USA.SINVEST ENTERPRISE WIDE DOMAIN GROUP CISCO NETWORK ADMINISTRATORS</t>
  </si>
  <si>
    <t xml:space="preserve">MIA25249 HAS PRIVILEGED ACCESS TO SOX APPLICATIONS VIA THE MIA.USA.SINVEST ENTERPRISE WIDE DOMAIN GROUP ISEADMIN</t>
  </si>
  <si>
    <t xml:space="preserve">Ackley, Kevin</t>
  </si>
  <si>
    <t xml:space="preserve">MIA25250 Ackley, Kevin has privileged access to CyberArk safe: Network_Devices_Accounts via AD Group:Cisco Network Administrators</t>
  </si>
  <si>
    <t xml:space="preserve">MIA25250 Ackley, Kevin has privileged access to CyberArk safe: Network_Devices_Accounts via AD Group:ISEAdmin</t>
  </si>
  <si>
    <t xml:space="preserve">MIA25250 Ackley, Kevinhas privileged access to CyberArk safe: Alero_Protect-MIA25250</t>
  </si>
  <si>
    <t xml:space="preserve">MIA25250 HAS PRIVILEGED ACCESS TO SOX APPLICATIONS VIA THE MIA.USA.SINVEST ENTERPRISE WIDE DOMAIN GROUP CYBERARK_ALERO_USERS</t>
  </si>
  <si>
    <t xml:space="preserve">MIA25250 HAS PRIVILEGED ACCESS TO SOX APPLICATIONS VIA THE MIA.USA.SINVEST ENTERPRISE WIDE DOMAIN GROUP CISCO NETWORK ADMINISTRATORS</t>
  </si>
  <si>
    <t xml:space="preserve">MIA25250 HAS PRIVILEGED ACCESS TO SOX APPLICATIONS VIA THE MIA.USA.SINVEST ENTERPRISE WIDE DOMAIN GROUP ISEADMIN</t>
  </si>
  <si>
    <t xml:space="preserve">Step-by-step test procedure (9 steps) applied to the management response C7.Sample.xlsx</t>
  </si>
  <si>
    <t xml:space="preserve">Step</t>
  </si>
  <si>
    <t xml:space="preserve">Procedure</t>
  </si>
  <si>
    <t xml:space="preserve">Source (C7.Sample.xlsx tab / field)</t>
  </si>
  <si>
    <t xml:space="preserve">What was done</t>
  </si>
  <si>
    <t xml:space="preserve">Result obtained</t>
  </si>
  <si>
    <t xml:space="preserve">Step result</t>
  </si>
  <si>
    <t xml:space="preserve">1</t>
  </si>
  <si>
    <t xml:space="preserve">STEP 1 - OBTAIN EVIDENCE</t>
  </si>
  <si>
    <t xml:space="preserve">All tabs; Screenshot tab</t>
  </si>
  <si>
    <t xml:space="preserve">Inventoried the response to the 10-account request: certification exports, AD extract, screenshots.</t>
  </si>
  <si>
    <t xml:space="preserve">Received: 2026 Q2 PAM BSI SOX Manager (188 rows, launched 7/22/2026) and SOX Entitlement Owner (336 rows, 7/23/2026); 2026 Q2 PAM BSI CyberArk Manager (680 rows, 8/13/2026) and CyberArk Entitlement Owner (3,685 rows, 8/14/2026); AD user export Oct10_2026Users (2,543 accounts); 20 SAMPLE-tab screenshots of the filtered certification rows; screenshot of the Get-ADUser command. NOT received: Netwrix logs, AD audit logs, ServiceNow tickets, removal dates, group-membership extract, re-grant access requests, HR / contract evidence. The 2026 Q2 campaigns were launched after the period end (06/30/2026) and are subsequent-period evidence.</t>
  </si>
  <si>
    <t xml:space="preserve">Observation - response incomplete</t>
  </si>
  <si>
    <t xml:space="preserve">2</t>
  </si>
  <si>
    <t xml:space="preserve">STEP 2 - VALIDATE REPORT COMPLETENESS AND ACCURACY</t>
  </si>
  <si>
    <t xml:space="preserve">Oct10_2026Users; Screenshot tab; certification exports</t>
  </si>
  <si>
    <t xml:space="preserve">Tried to reconcile the certified network-group memberships to AD and checked the report generation evidence.</t>
  </si>
  <si>
    <t xml:space="preserve">Cannot be performed: the AD export has user attributes only (name, sAMAccountName, enabled, UPN, employeeID, employeeNumber) - no group membership, whenChanged or account expiration - so certified memberships cannot be reconciled to Cisco Network Administrators / ISEAdmin / CISCO ISE Administrators / F5FullAdmin. Report reliability observations: (a) the export is named Oct10_2026 but the command screenshot is time-stamped 10/13/2026 11:04 AM - the link between the screenshot and the file is not shown; (b) MIA25250 has blank employeeID / employeeNumber, and the SAMPLE tab hard-codes 100592068 instead of the VLOOKUP; (c) Account Status = "Account Removed" on every row, including approved access; (d) 1 AD row has a blank enabled value.</t>
  </si>
  <si>
    <t xml:space="preserve">Observation (A7)</t>
  </si>
  <si>
    <t xml:space="preserve">3</t>
  </si>
  <si>
    <t xml:space="preserve">STEP 3 - VALIDATE POPULATION AND SCOPE</t>
  </si>
  <si>
    <t xml:space="preserve">2026Q2PamBsiSox-Manager / -Owner, Entitlement Value</t>
  </si>
  <si>
    <t xml:space="preserve">Parsed the 4 in-scope network groups (PAM Definition of Privilege sec. 3.3) from Entitlement Value.</t>
  </si>
  <si>
    <t xml:space="preserve">2026 Q2 SOX certifications: 58 in-scope memberships (Manager 48 - Cisco Net Admins 23, ISEAdmin 22, F5FullAdmin 2, CISCO ISE Admins 1; Owner 10). All 10 sample accounts are in the population (Cisco Network Administrators, ISEAdmin, CYBERARK_ALERO_USERS). Completeness against AD cannot be concluded (see step 2).</t>
  </si>
  <si>
    <t xml:space="preserve">Partial - completeness not evidenced</t>
  </si>
  <si>
    <t xml:space="preserve">4</t>
  </si>
  <si>
    <t xml:space="preserve">STEP 4 - VERIFY CONTROL EXECUTION</t>
  </si>
  <si>
    <t xml:space="preserve">Certification Name, Decision Maker, Decision / SignOff Date</t>
  </si>
  <si>
    <t xml:space="preserve">For the 10 accounts: initiation, reviewer, decision, revocations identified.</t>
  </si>
  <si>
    <t xml:space="preserve">Initiation: 2026 Q2 SOX campaign launched 7/22/2026, CyberArk 8/13/2026 (SanIAM / SailPoint). Reviewer: line manager Borges, Dayam (SOX 7/27/2026 12:45 PM; CyberArk 8/17/2026 9:23 AM); Alero safes by owner Heredia, Evelio Alejandro (8/27/2026); no self-review. Decisions: 59 / 59 account-holder rows Approved and signed off. Revocations identified: none for the 10 accounts. Inappropriate access approved: 7 identities with IAMS Termination Date 12/31/2024 (MIA25103-06, MIA25142, MIA25249, MIA25250); MIA25103 disabled in AD; 4 accounts whose 2025 Q3 revocation was reversed (MIA25142, MIA25172, MIA25175, X453396). Population-wide in the 2026 Q2 SOX Manager cert: 8 network-group members disabled in AD on 10/10/2026 still Approved (MIA20037, MIA25103, X533062, X688027, X689040, X689379, X690623, X690995).</t>
  </si>
  <si>
    <t xml:space="preserve">Fail (A5)</t>
  </si>
  <si>
    <t xml:space="preserve">5</t>
  </si>
  <si>
    <t xml:space="preserve">STEP 5 - VALIDATE CONTROL RESULTS</t>
  </si>
  <si>
    <t xml:space="preserve">1_Response Summary cols F-J, R</t>
  </si>
  <si>
    <t xml:space="preserve">For the 4 A6 accounts: decision date, removal date, SLA, persistence.</t>
  </si>
  <si>
    <t xml:space="preserve">Decision 08/28/2025 (2025 Q3 Revoked). Removal 09/02/2025 (MIA25142, MIA25172) and 09/08/2025 (MIA25175, X453396) per the prior Netwrix logs = 2 and 6 business days, within the SLA deadline of 10/10/2025. Persistence: NOT sustained - the sample file shows all 4 still holding Cisco Network Administrators / ISEAdmin and approved again in 2026 Q2. The response provides no removal date, Netwrix log or ticket. The 6 supplemental accounts were never revoked, so no SLA applies.</t>
  </si>
  <si>
    <t xml:space="preserve">Fail (A6 - persistence)</t>
  </si>
  <si>
    <t xml:space="preserve">6</t>
  </si>
  <si>
    <t xml:space="preserve">STEP 6 - VERIFY EXCEPTION HANDLING</t>
  </si>
  <si>
    <t xml:space="preserve">All tabs; WorkItemID / WorkItemComment</t>
  </si>
  <si>
    <t xml:space="preserve">Looked for exception records, comments or tickets for the 10 accounts.</t>
  </si>
  <si>
    <t xml:space="preserve">WorkItemID / WorkItemComment are blank for all 59 rows; no exception record, risk acceptance or comment. The response does not explain the re-grants or the approvals of terminated / disabled identities.</t>
  </si>
  <si>
    <t xml:space="preserve">Fail (not evidenced)</t>
  </si>
  <si>
    <t xml:space="preserve">7</t>
  </si>
  <si>
    <t xml:space="preserve">STEP 7 - VERIFY ESCALATION AND REMEDIATION</t>
  </si>
  <si>
    <t xml:space="preserve">All tabs</t>
  </si>
  <si>
    <t xml:space="preserve">Looked for escalation, remediation owner, due date and tracking.</t>
  </si>
  <si>
    <t xml:space="preserve">None provided. The same exceptions found in 2025 Q3 and 2026 Q1 recur in 2026 Q2 (third consecutive review), so remediation is not evidenced. MIA25249 / MIA25250 went from disabled (05/15/2026) to enabled (10/10/2026) with no explanation.</t>
  </si>
  <si>
    <t xml:space="preserve">8</t>
  </si>
  <si>
    <t xml:space="preserve">STEP 8 - ASSESS RISK MITIGATION</t>
  </si>
  <si>
    <t xml:space="preserve">1_Response Summary; 2_Item Detail</t>
  </si>
  <si>
    <t xml:space="preserve">Does the review identify inappropriate access and drive timely, lasting revocation?</t>
  </si>
  <si>
    <t xml:space="preserve">No for the tested accounts. Reviews run and are signed off by the right reviewers, but the reviewer re-approves terminated, disabled and previously revoked privileged network access, and revocations are not sustained. Privileged network access for these 10 accounts remains in place as of the 2026 Q2 certifications.</t>
  </si>
  <si>
    <t xml:space="preserve">Fail - Needs Improvement</t>
  </si>
  <si>
    <t xml:space="preserve">9</t>
  </si>
  <si>
    <t xml:space="preserve">STEP 9 - SUMMARIZE TESTING COVERAGE</t>
  </si>
  <si>
    <t xml:space="preserve">This tab</t>
  </si>
  <si>
    <t xml:space="preserve">Coverage per attribute.</t>
  </si>
  <si>
    <t xml:space="preserve">Completeness &amp; accuracy: Observation (no group data). Scope: Partial. Initiation: Pass. Reviewer authorization: Pass. Certification execution: Pass. Revocation decisions / appropriateness: Fail. Timeliness of removal: Pass (2025 Q3, 2 and 6 business days). Persistence: Fail. Exception management: Fail. Escalation: Fail. Risk mitigation: Fail. The response does not clear any of the 10 exceptions; the prior conclusion (Needs Improvement) stands.</t>
  </si>
  <si>
    <t xml:space="preserve">Evidence still needed after the C7.Sample.xlsx response</t>
  </si>
  <si>
    <t xml:space="preserve">Account(s)</t>
  </si>
  <si>
    <t xml:space="preserve">Request</t>
  </si>
  <si>
    <t xml:space="preserve">Why it is needed</t>
  </si>
  <si>
    <t xml:space="preserve">Owner</t>
  </si>
  <si>
    <t xml:space="preserve">Status</t>
  </si>
  <si>
    <t xml:space="preserve">MIA25142, MIA25172, MIA25175, X453396</t>
  </si>
  <si>
    <t xml:space="preserve">Netwrix "member removed" events for the 2025 Q3 revocations (09/02/2025, 09/08/2025) and the "member added" events that put the accounts back in Cisco Network Administrators / ISEAdmin, with date and actor.</t>
  </si>
  <si>
    <t xml:space="preserve">Only system evidence that dates the removal and the re-grant.</t>
  </si>
  <si>
    <t xml:space="preserve">InfoSec (Netwrix)</t>
  </si>
  <si>
    <t xml:space="preserve">Pending</t>
  </si>
  <si>
    <t xml:space="preserve">Approved ServiceNow access request (manager + group owner) for each re-grant, or confirmation that none exists.</t>
  </si>
  <si>
    <t xml:space="preserve">Only evidence that can clear E3.</t>
  </si>
  <si>
    <t xml:space="preserve">PAM / IAM</t>
  </si>
  <si>
    <t xml:space="preserve">All 10</t>
  </si>
  <si>
    <t xml:space="preserve">Get-ADGroupMember export of Cisco Network Administrators, ISEAdmin, CISCO ISE Administrators, F5FullAdmin and CYBERARK_ALERO_USERS, with the command screenshot (date / time visible), plus whenChanged and accountExpires for the 10 accounts.</t>
  </si>
  <si>
    <t xml:space="preserve">The 10/10/2026 user export has no group or change data, so it cannot show whether access was removed or stayed removed.</t>
  </si>
  <si>
    <t xml:space="preserve">IT Ops / InfoSec</t>
  </si>
  <si>
    <t xml:space="preserve">MIA25103-06, MIA25142, MIA25249, MIA25250</t>
  </si>
  <si>
    <t xml:space="preserve">HR / vendor contract dates and the reason IAMS still shows Termination Date 12/31/2024; reviewer rationale for approving these identities on 7/27/2026 and 8/17/2026.</t>
  </si>
  <si>
    <t xml:space="preserve">Decides whether E2 is a real exception or an IAMS data-quality observation.</t>
  </si>
  <si>
    <t xml:space="preserve">HR / IAM / Control owner</t>
  </si>
  <si>
    <t xml:space="preserve">Why a disabled AD account keeps (and is re-approved for) privileged network group membership; removal ticket.</t>
  </si>
  <si>
    <t xml:space="preserve">E1 - disabled account approved in three reviews.</t>
  </si>
  <si>
    <t xml:space="preserve">MIA25249, MIA25250</t>
  </si>
  <si>
    <t xml:space="preserve">AD audit / Netwrix event and approved request for the re-enable between 05/15/2026 (disabled) and 10/10/2026 (enabled).</t>
  </si>
  <si>
    <t xml:space="preserve">Unexplained re-enable of accounts with privileged network access.</t>
  </si>
  <si>
    <t xml:space="preserve">Explain the blank employeeID / employeeNumber in AD and the hard-coded identity 100592068 in the SAMPLE tab.</t>
  </si>
  <si>
    <t xml:space="preserve">Identity correlation between AD and SanIAM (A7).</t>
  </si>
  <si>
    <t xml:space="preserve">IAM</t>
  </si>
  <si>
    <t xml:space="preserve">Exception / issue record, escalation, remediation owner and due date (ServiceNow or GRC).</t>
  </si>
  <si>
    <t xml:space="preserve">Steps 6-7 cannot pass without it.</t>
  </si>
  <si>
    <t xml:space="preserve">Control owner</t>
  </si>
  <si>
    <t xml:space="preserve">All</t>
  </si>
  <si>
    <t xml:space="preserve">Explain why Account Status = "Account Removed" on every row of the certification exports.</t>
  </si>
  <si>
    <t xml:space="preserve">Field cannot be relied on (A7).</t>
  </si>
  <si>
    <t xml:space="preserve">Draft follow-up to the control owner</t>
  </si>
  <si>
    <t xml:space="preserve">Hi Zoila,</t>
  </si>
  <si>
    <t xml:space="preserve">Thank you for sending C7.Sample.xlsx. We reviewed it against the request for the 10 sampled accounts. It contains the 2026 Q2 PAM BSI SOX and CyberArk certification exports, the 10/10/2026 AD user export and screenshots. It does not yet answer the A6 questions, and for all 10 accounts it shows the access still in place.</t>
  </si>
  <si>
    <t xml:space="preserve">What the file shows:</t>
  </si>
  <si>
    <t xml:space="preserve">- MIA25142, MIA25172, MIA25175, X453396: revoked on 08/28/2025 (2025 Q3) and removed on 09/02/2025 or 09/08/2025, within the 30-business-day SLA. However, all four still hold Cisco Network Administrators / ISEAdmin and were approved again in the 2026 Q2 SOX Manager certification (Borges, Dayam, 7/27/2026) and the CyberArk Manager certification (8/17/2026). The access did not stay removed, and the file has no removal date, Netwrix log or ticket for a later removal.</t>
  </si>
  <si>
    <t xml:space="preserve">- MIA25103, MIA25104, MIA25105, MIA25106, MIA25249, MIA25250: approved again in 2026 Q2. None of these accounts was revoked, so there is no removal date or SLA to test. IAMS still shows Termination Date 12/31/2024 for all six. MIA25103 is disabled in AD but still approved. MIA25249 and MIA25250 were disabled on 05/15/2026 and are enabled again on 10/10/2026.</t>
  </si>
  <si>
    <t xml:space="preserve">To complete the testing, please provide:</t>
  </si>
  <si>
    <t xml:space="preserve">1. Netwrix / AD audit events for the removal (09/02/2025, 09/08/2025) and for the re-addition of MIA25142, MIA25172, MIA25175 and X453396 to Cisco Network Administrators / ISEAdmin, with dates, plus the approved access request (ServiceNow) for each re-grant.</t>
  </si>
  <si>
    <t xml:space="preserve">2. A Get-ADGroupMember export of Cisco Network Administrators, ISEAdmin, CISCO ISE Administrators, F5FullAdmin and CYBERARK_ALERO_USERS, with the command screenshot showing date and time, plus whenChanged / accountExpires for the 10 accounts. The 10/10/2026 export has no group data, so it cannot show whether access was removed.</t>
  </si>
  <si>
    <t xml:space="preserve">3. HR or contract evidence for MIA25103-06, MIA25142, MIA25249 and MIA25250, given the IAMS termination date of 12/31/2024, and the reviewer's rationale for approving them.</t>
  </si>
  <si>
    <t xml:space="preserve">4. The reason, and approval, for MIA25103's disabled account keeping network admin access, and for the re-enable of MIA25249 / MIA25250.</t>
  </si>
  <si>
    <t xml:space="preserve">5. Any exception, escalation or remediation record (owner, due date, status) for these accounts.</t>
  </si>
  <si>
    <t xml:space="preserve">Two small items: MIA25250 has a blank employeeID in AD, and Account Status shows "Account Removed" on every row of the exports. Please explain both.</t>
  </si>
  <si>
    <t xml:space="preserve">Best regards,</t>
  </si>
  <si>
    <t xml:space="preserve">Edward Morfa</t>
  </si>
  <si>
    <t xml:space="preserve">Sources used</t>
  </si>
  <si>
    <t xml:space="preserve">File</t>
  </si>
  <si>
    <t xml:space="preserve">Tab</t>
  </si>
  <si>
    <t xml:space="preserve">Content</t>
  </si>
  <si>
    <t xml:space="preserve">Used for</t>
  </si>
  <si>
    <t xml:space="preserve">MD5</t>
  </si>
  <si>
    <t xml:space="preserve">C7.Sample.xlsx</t>
  </si>
  <si>
    <t xml:space="preserve">SAMPLE</t>
  </si>
  <si>
    <t xml:space="preserve">Sample list, VLOOKUP to AD employeeNumber, 20 screenshots of filtered SOX / CyberArk Manager rows</t>
  </si>
  <si>
    <t xml:space="preserve">Sample identification</t>
  </si>
  <si>
    <t xml:space="preserve">5338b068e48afaf6f3d7b185ac6cf12e</t>
  </si>
  <si>
    <t xml:space="preserve">2026 Q2 PAM BSI SOX Manager Certification [7/22/26] - 188 rows</t>
  </si>
  <si>
    <t xml:space="preserve">Decision / reviewer / dates</t>
  </si>
  <si>
    <t xml:space="preserve">2026Q2PamBsiSox-Owner</t>
  </si>
  <si>
    <t xml:space="preserve">2026 Q2 PAM BSI SOX Entitlement Owner Certification [7/23/26] - 336 rows</t>
  </si>
  <si>
    <t xml:space="preserve">Population / scope</t>
  </si>
  <si>
    <t xml:space="preserve">2026 Q2 PAM BSI CyberArk Manager Certification [8/13/26] - 680 rows</t>
  </si>
  <si>
    <t xml:space="preserve">2026Q2PamBsiCyberark-Owner</t>
  </si>
  <si>
    <t xml:space="preserve">2026 Q2 PAM BSI CyberArk Entitlement Owner Certification [8/14/26] - 3,685 rows</t>
  </si>
  <si>
    <t xml:space="preserve">Alero safe owner review</t>
  </si>
  <si>
    <t xml:space="preserve">Oct10_2026Users</t>
  </si>
  <si>
    <t xml:space="preserve">Get-ADUser export (2,543 accounts; enabled, UPN, employeeID / Number)</t>
  </si>
  <si>
    <t xml:space="preserve">AD account status</t>
  </si>
  <si>
    <t xml:space="preserve">Screenshot</t>
  </si>
  <si>
    <t xml:space="preserve">PowerShell ISE - Get-ADUser -Filter * export command, 10/13/2026 11:04 AM</t>
  </si>
  <si>
    <t xml:space="preserve">Report generation (A7)</t>
  </si>
  <si>
    <t xml:space="preserve">BSI.IT.27.C7.05 Testing Walkthrough - Step by Step.xlsx</t>
  </si>
  <si>
    <t xml:space="preserve">4_Item Detail, 5_Exceptions</t>
  </si>
  <si>
    <t xml:space="preserve">Prior testing: 2025 Q3 decisions 08/28/2025, Netwrix removals 09/02 / 09/08/2025, AD 11/25/2025 and 05/15/2026</t>
  </si>
  <si>
    <t xml:space="preserve">Decision and removal dates for A6; prior exceptions</t>
  </si>
  <si>
    <t xml:space="preserve">a6eee02a47888234ca2afd7662f0fd49</t>
  </si>
  <si>
    <t xml:space="preserve">Sample step taken.docx</t>
  </si>
  <si>
    <t xml:space="preserve">Request to the control owner (A6 sample, 10 accounts)</t>
  </si>
  <si>
    <t xml:space="preserve">Request being answered</t>
  </si>
  <si>
    <t xml:space="preserve">478b98cad0b66e5989c71e3ee9f1bef3</t>
  </si>
  <si>
    <t xml:space="preserve">US bank holidays (Federal Reserve) used for the 30-business-day SLA</t>
  </si>
  <si>
    <t xml:space="preserve">Date</t>
  </si>
  <si>
    <t xml:space="preserve">Holiday</t>
  </si>
  <si>
    <t xml:space="preserve">Labor Day</t>
  </si>
  <si>
    <t xml:space="preserve">Columbus Day</t>
  </si>
  <si>
    <t xml:space="preserve">Veterans Day</t>
  </si>
  <si>
    <t xml:space="preserve">Thanksgiving</t>
  </si>
  <si>
    <t xml:space="preserve">Christmas</t>
  </si>
  <si>
    <t xml:space="preserve">New Year's Day</t>
  </si>
  <si>
    <t xml:space="preserve">MLK Day</t>
  </si>
  <si>
    <t xml:space="preserve">Presidents' Day</t>
  </si>
  <si>
    <t xml:space="preserve">Memorial Day</t>
  </si>
  <si>
    <t xml:space="preserve">Juneteenth</t>
  </si>
  <si>
    <t xml:space="preserve">Independence Day (obs.)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</si>
</sst>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m/dd/yyyy"/>
    <numFmt numFmtId="166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8CBAD"/>
        <bgColor rgb="FFFFEB9C"/>
      </patternFill>
    </fill>
    <fill>
      <patternFill patternType="solid">
        <fgColor rgb="FFFFEB9C"/>
        <bgColor rgb="FFFFFFCC"/>
      </patternFill>
    </fill>
    <fill>
      <patternFill patternType="solid">
        <fgColor rgb="FFC6EFCE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8CBAD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22"/>
    <col collapsed="false" customWidth="true" hidden="false" outlineLevel="0" max="4" min="4" style="0" width="16"/>
    <col collapsed="false" customWidth="true" hidden="false" outlineLevel="0" max="5" min="5" style="0" width="34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14"/>
    <col collapsed="false" customWidth="true" hidden="false" outlineLevel="0" max="11" min="11" style="0" width="20"/>
    <col collapsed="false" customWidth="true" hidden="false" outlineLevel="0" max="13" min="12" style="0" width="26"/>
    <col collapsed="false" customWidth="true" hidden="false" outlineLevel="0" max="14" min="14" style="0" width="40"/>
    <col collapsed="false" customWidth="true" hidden="false" outlineLevel="0" max="15" min="15" style="0" width="13"/>
    <col collapsed="false" customWidth="true" hidden="false" outlineLevel="0" max="16" min="16" style="0" width="30"/>
    <col collapsed="false" customWidth="true" hidden="false" outlineLevel="0" max="17" min="17" style="0" width="14"/>
    <col collapsed="false" customWidth="true" hidden="false" outlineLevel="0" max="18" min="18" style="0" width="30"/>
    <col collapsed="false" customWidth="true" hidden="false" outlineLevel="0" max="20" min="19" style="0" width="42"/>
    <col collapsed="false" customWidth="true" hidden="false" outlineLevel="0" max="21" min="21" style="0" width="46"/>
  </cols>
  <sheetData>
    <row r="1" customFormat="false" ht="15" hidden="false" customHeight="false" outlineLevel="0" collapsed="false">
      <c r="A1" s="1" t="s">
        <v>0</v>
      </c>
    </row>
    <row r="3" customFormat="false" ht="46.2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2" t="s">
        <v>12</v>
      </c>
      <c r="M3" s="2" t="s">
        <v>13</v>
      </c>
      <c r="N3" s="2" t="s">
        <v>14</v>
      </c>
      <c r="O3" s="2" t="s">
        <v>15</v>
      </c>
      <c r="P3" s="2" t="s">
        <v>16</v>
      </c>
      <c r="Q3" s="2" t="s">
        <v>17</v>
      </c>
      <c r="R3" s="2" t="s">
        <v>18</v>
      </c>
      <c r="S3" s="2" t="s">
        <v>19</v>
      </c>
      <c r="T3" s="2" t="s">
        <v>20</v>
      </c>
      <c r="U3" s="2" t="s">
        <v>21</v>
      </c>
    </row>
    <row r="4" customFormat="false" ht="165" hidden="false" customHeight="true" outlineLevel="0" collapsed="false">
      <c r="A4" s="3" t="n">
        <v>1</v>
      </c>
      <c r="B4" s="3" t="s">
        <v>22</v>
      </c>
      <c r="C4" s="3" t="s">
        <v>23</v>
      </c>
      <c r="D4" s="3" t="s">
        <v>24</v>
      </c>
      <c r="E4" s="3" t="s">
        <v>25</v>
      </c>
      <c r="F4" s="4" t="n">
        <v>45897</v>
      </c>
      <c r="G4" s="4" t="n">
        <v>45902</v>
      </c>
      <c r="H4" s="3" t="n">
        <f aca="false">NETWORKDAYS(F4+1,G4,Holidays!$A$4:$A$17)</f>
        <v>2</v>
      </c>
      <c r="I4" s="5" t="n">
        <f aca="false">WORKDAY(F4,30,Holidays!$A$4:$A$17)</f>
        <v>45940</v>
      </c>
      <c r="J4" s="3" t="str">
        <f aca="false">IF(G4&lt;=I4,"Yes - within SLA","No - late")</f>
        <v>Yes - within SLA</v>
      </c>
      <c r="K4" s="3" t="s">
        <v>26</v>
      </c>
      <c r="L4" s="3" t="s">
        <v>27</v>
      </c>
      <c r="M4" s="3" t="s">
        <v>28</v>
      </c>
      <c r="N4" s="3" t="s">
        <v>29</v>
      </c>
      <c r="O4" s="3" t="s">
        <v>30</v>
      </c>
      <c r="P4" s="3" t="s">
        <v>31</v>
      </c>
      <c r="Q4" s="3" t="s">
        <v>32</v>
      </c>
      <c r="R4" s="6" t="s">
        <v>33</v>
      </c>
      <c r="S4" s="3" t="s">
        <v>34</v>
      </c>
      <c r="T4" s="3" t="s">
        <v>35</v>
      </c>
      <c r="U4" s="6" t="str">
        <f aca="false">"Exception (A6 - E3) NOT cleared. Removal was within the SLA ("&amp;H4&amp;" business days) but did not stay in place. The sample file shows no new revocation and no removal date; it shows the access approved again in 2026 Q2. Management to provide the re-grant request / approval or treat as an unauthorized re-grant."</f>
        <v>Exception (A6 - E3) NOT cleared. Removal was within the SLA (2 business days) but did not stay in place. The sample file shows no new revocation and no removal date; it shows the access approved again in 2026 Q2. Management to provide the re-grant request / approval or treat as an unauthorized re-grant.</v>
      </c>
    </row>
    <row r="5" customFormat="false" ht="165" hidden="false" customHeight="true" outlineLevel="0" collapsed="false">
      <c r="A5" s="3" t="n">
        <v>2</v>
      </c>
      <c r="B5" s="3" t="s">
        <v>36</v>
      </c>
      <c r="C5" s="3" t="s">
        <v>37</v>
      </c>
      <c r="D5" s="3" t="s">
        <v>24</v>
      </c>
      <c r="E5" s="3" t="s">
        <v>38</v>
      </c>
      <c r="F5" s="4" t="n">
        <v>45897</v>
      </c>
      <c r="G5" s="4" t="n">
        <v>45902</v>
      </c>
      <c r="H5" s="3" t="n">
        <f aca="false">NETWORKDAYS(F5+1,G5,Holidays!$A$4:$A$17)</f>
        <v>2</v>
      </c>
      <c r="I5" s="5" t="n">
        <f aca="false">WORKDAY(F5,30,Holidays!$A$4:$A$17)</f>
        <v>45940</v>
      </c>
      <c r="J5" s="3" t="str">
        <f aca="false">IF(G5&lt;=I5,"Yes - within SLA","No - late")</f>
        <v>Yes - within SLA</v>
      </c>
      <c r="K5" s="3" t="s">
        <v>26</v>
      </c>
      <c r="L5" s="3" t="s">
        <v>39</v>
      </c>
      <c r="M5" s="3" t="s">
        <v>40</v>
      </c>
      <c r="N5" s="3" t="s">
        <v>41</v>
      </c>
      <c r="O5" s="3" t="s">
        <v>42</v>
      </c>
      <c r="P5" s="3" t="s">
        <v>31</v>
      </c>
      <c r="Q5" s="3" t="s">
        <v>43</v>
      </c>
      <c r="R5" s="6" t="s">
        <v>33</v>
      </c>
      <c r="S5" s="3" t="s">
        <v>44</v>
      </c>
      <c r="T5" s="3" t="s">
        <v>35</v>
      </c>
      <c r="U5" s="6" t="str">
        <f aca="false">"Exception (A6 - E3) NOT cleared. Removal was within the SLA ("&amp;H5&amp;" business days) but did not stay in place. The sample file shows no new revocation and no removal date; it shows the access approved again in 2026 Q2. Management to provide the re-grant request / approval or treat as an unauthorized re-grant."</f>
        <v>Exception (A6 - E3) NOT cleared. Removal was within the SLA (2 business days) but did not stay in place. The sample file shows no new revocation and no removal date; it shows the access approved again in 2026 Q2. Management to provide the re-grant request / approval or treat as an unauthorized re-grant.</v>
      </c>
    </row>
    <row r="6" customFormat="false" ht="165" hidden="false" customHeight="true" outlineLevel="0" collapsed="false">
      <c r="A6" s="3" t="n">
        <v>3</v>
      </c>
      <c r="B6" s="3" t="s">
        <v>45</v>
      </c>
      <c r="C6" s="3" t="s">
        <v>46</v>
      </c>
      <c r="D6" s="3" t="s">
        <v>24</v>
      </c>
      <c r="E6" s="3" t="s">
        <v>38</v>
      </c>
      <c r="F6" s="4" t="n">
        <v>45897</v>
      </c>
      <c r="G6" s="4" t="n">
        <v>45908</v>
      </c>
      <c r="H6" s="3" t="n">
        <f aca="false">NETWORKDAYS(F6+1,G6,Holidays!$A$4:$A$17)</f>
        <v>6</v>
      </c>
      <c r="I6" s="5" t="n">
        <f aca="false">WORKDAY(F6,30,Holidays!$A$4:$A$17)</f>
        <v>45940</v>
      </c>
      <c r="J6" s="3" t="str">
        <f aca="false">IF(G6&lt;=I6,"Yes - within SLA","No - late")</f>
        <v>Yes - within SLA</v>
      </c>
      <c r="K6" s="3" t="s">
        <v>26</v>
      </c>
      <c r="L6" s="3" t="s">
        <v>47</v>
      </c>
      <c r="M6" s="3" t="s">
        <v>48</v>
      </c>
      <c r="N6" s="3" t="s">
        <v>49</v>
      </c>
      <c r="O6" s="3" t="s">
        <v>42</v>
      </c>
      <c r="P6" s="3" t="s">
        <v>31</v>
      </c>
      <c r="Q6" s="3" t="s">
        <v>50</v>
      </c>
      <c r="R6" s="6" t="s">
        <v>33</v>
      </c>
      <c r="S6" s="3" t="s">
        <v>51</v>
      </c>
      <c r="T6" s="3" t="s">
        <v>35</v>
      </c>
      <c r="U6" s="6" t="str">
        <f aca="false">"Exception (A6 - E3) NOT cleared. Removal was within the SLA ("&amp;H6&amp;" business days) but did not stay in place. The sample file shows no new revocation and no removal date; it shows the access approved again in 2026 Q2. Management to provide the re-grant request / approval or treat as an unauthorized re-grant."</f>
        <v>Exception (A6 - E3) NOT cleared. Removal was within the SLA (6 business days) but did not stay in place. The sample file shows no new revocation and no removal date; it shows the access approved again in 2026 Q2. Management to provide the re-grant request / approval or treat as an unauthorized re-grant.</v>
      </c>
    </row>
    <row r="7" customFormat="false" ht="165" hidden="false" customHeight="true" outlineLevel="0" collapsed="false">
      <c r="A7" s="3" t="n">
        <v>4</v>
      </c>
      <c r="B7" s="3" t="s">
        <v>52</v>
      </c>
      <c r="C7" s="3" t="s">
        <v>53</v>
      </c>
      <c r="D7" s="3" t="s">
        <v>24</v>
      </c>
      <c r="E7" s="3" t="s">
        <v>25</v>
      </c>
      <c r="F7" s="4" t="n">
        <v>45897</v>
      </c>
      <c r="G7" s="4" t="n">
        <v>45908</v>
      </c>
      <c r="H7" s="3" t="n">
        <f aca="false">NETWORKDAYS(F7+1,G7,Holidays!$A$4:$A$17)</f>
        <v>6</v>
      </c>
      <c r="I7" s="5" t="n">
        <f aca="false">WORKDAY(F7,30,Holidays!$A$4:$A$17)</f>
        <v>45940</v>
      </c>
      <c r="J7" s="3" t="str">
        <f aca="false">IF(G7&lt;=I7,"Yes - within SLA","No - late")</f>
        <v>Yes - within SLA</v>
      </c>
      <c r="K7" s="3" t="s">
        <v>26</v>
      </c>
      <c r="L7" s="3" t="s">
        <v>54</v>
      </c>
      <c r="M7" s="3" t="s">
        <v>55</v>
      </c>
      <c r="N7" s="3" t="s">
        <v>56</v>
      </c>
      <c r="O7" s="3" t="s">
        <v>42</v>
      </c>
      <c r="P7" s="3" t="s">
        <v>31</v>
      </c>
      <c r="Q7" s="3" t="s">
        <v>57</v>
      </c>
      <c r="R7" s="6" t="s">
        <v>33</v>
      </c>
      <c r="S7" s="3" t="s">
        <v>58</v>
      </c>
      <c r="T7" s="3" t="s">
        <v>35</v>
      </c>
      <c r="U7" s="6" t="str">
        <f aca="false">"Exception (A6 - E3) NOT cleared. Removal was within the SLA ("&amp;H7&amp;" business days) but did not stay in place. The sample file shows no new revocation and no removal date; it shows the access approved again in 2026 Q2. Management to provide the re-grant request / approval or treat as an unauthorized re-grant."</f>
        <v>Exception (A6 - E3) NOT cleared. Removal was within the SLA (6 business days) but did not stay in place. The sample file shows no new revocation and no removal date; it shows the access approved again in 2026 Q2. Management to provide the re-grant request / approval or treat as an unauthorized re-grant.</v>
      </c>
    </row>
    <row r="8" customFormat="false" ht="165" hidden="false" customHeight="true" outlineLevel="0" collapsed="false">
      <c r="A8" s="3" t="n">
        <v>5</v>
      </c>
      <c r="B8" s="3" t="s">
        <v>59</v>
      </c>
      <c r="C8" s="3" t="s">
        <v>60</v>
      </c>
      <c r="D8" s="3" t="s">
        <v>61</v>
      </c>
      <c r="E8" s="3" t="s">
        <v>62</v>
      </c>
      <c r="F8" s="5" t="s">
        <v>63</v>
      </c>
      <c r="G8" s="5" t="s">
        <v>64</v>
      </c>
      <c r="H8" s="3" t="s">
        <v>63</v>
      </c>
      <c r="I8" s="5" t="s">
        <v>63</v>
      </c>
      <c r="J8" s="7" t="s">
        <v>65</v>
      </c>
      <c r="K8" s="3" t="s">
        <v>66</v>
      </c>
      <c r="L8" s="3" t="s">
        <v>67</v>
      </c>
      <c r="M8" s="3" t="s">
        <v>68</v>
      </c>
      <c r="N8" s="3" t="s">
        <v>69</v>
      </c>
      <c r="O8" s="3" t="s">
        <v>30</v>
      </c>
      <c r="P8" s="3" t="s">
        <v>70</v>
      </c>
      <c r="Q8" s="3" t="s">
        <v>71</v>
      </c>
      <c r="R8" s="7" t="s">
        <v>72</v>
      </c>
      <c r="S8" s="3" t="s">
        <v>73</v>
      </c>
      <c r="T8" s="3" t="s">
        <v>74</v>
      </c>
      <c r="U8" s="6" t="s">
        <v>75</v>
      </c>
    </row>
    <row r="9" customFormat="false" ht="165" hidden="false" customHeight="true" outlineLevel="0" collapsed="false">
      <c r="A9" s="3" t="n">
        <v>6</v>
      </c>
      <c r="B9" s="3" t="s">
        <v>76</v>
      </c>
      <c r="C9" s="3" t="s">
        <v>77</v>
      </c>
      <c r="D9" s="3" t="s">
        <v>61</v>
      </c>
      <c r="E9" s="3" t="s">
        <v>62</v>
      </c>
      <c r="F9" s="5" t="s">
        <v>63</v>
      </c>
      <c r="G9" s="5" t="s">
        <v>64</v>
      </c>
      <c r="H9" s="3" t="s">
        <v>63</v>
      </c>
      <c r="I9" s="5" t="s">
        <v>63</v>
      </c>
      <c r="J9" s="7" t="s">
        <v>65</v>
      </c>
      <c r="K9" s="3" t="s">
        <v>66</v>
      </c>
      <c r="L9" s="3" t="s">
        <v>78</v>
      </c>
      <c r="M9" s="3" t="s">
        <v>79</v>
      </c>
      <c r="N9" s="3" t="s">
        <v>80</v>
      </c>
      <c r="O9" s="3" t="s">
        <v>30</v>
      </c>
      <c r="P9" s="3" t="s">
        <v>81</v>
      </c>
      <c r="Q9" s="3" t="s">
        <v>82</v>
      </c>
      <c r="R9" s="7" t="s">
        <v>72</v>
      </c>
      <c r="S9" s="3" t="s">
        <v>83</v>
      </c>
      <c r="T9" s="3" t="s">
        <v>74</v>
      </c>
      <c r="U9" s="6" t="s">
        <v>84</v>
      </c>
    </row>
    <row r="10" customFormat="false" ht="165" hidden="false" customHeight="true" outlineLevel="0" collapsed="false">
      <c r="A10" s="3" t="n">
        <v>7</v>
      </c>
      <c r="B10" s="3" t="s">
        <v>85</v>
      </c>
      <c r="C10" s="3" t="s">
        <v>86</v>
      </c>
      <c r="D10" s="3" t="s">
        <v>61</v>
      </c>
      <c r="E10" s="3" t="s">
        <v>62</v>
      </c>
      <c r="F10" s="5" t="s">
        <v>63</v>
      </c>
      <c r="G10" s="5" t="s">
        <v>64</v>
      </c>
      <c r="H10" s="3" t="s">
        <v>63</v>
      </c>
      <c r="I10" s="5" t="s">
        <v>63</v>
      </c>
      <c r="J10" s="7" t="s">
        <v>65</v>
      </c>
      <c r="K10" s="3" t="s">
        <v>66</v>
      </c>
      <c r="L10" s="3" t="s">
        <v>87</v>
      </c>
      <c r="M10" s="3" t="s">
        <v>88</v>
      </c>
      <c r="N10" s="3" t="s">
        <v>89</v>
      </c>
      <c r="O10" s="3" t="s">
        <v>30</v>
      </c>
      <c r="P10" s="3" t="s">
        <v>81</v>
      </c>
      <c r="Q10" s="3" t="s">
        <v>90</v>
      </c>
      <c r="R10" s="7" t="s">
        <v>72</v>
      </c>
      <c r="S10" s="3" t="s">
        <v>91</v>
      </c>
      <c r="T10" s="3" t="s">
        <v>74</v>
      </c>
      <c r="U10" s="6" t="s">
        <v>84</v>
      </c>
    </row>
    <row r="11" customFormat="false" ht="165" hidden="false" customHeight="true" outlineLevel="0" collapsed="false">
      <c r="A11" s="3" t="n">
        <v>8</v>
      </c>
      <c r="B11" s="3" t="s">
        <v>92</v>
      </c>
      <c r="C11" s="3" t="s">
        <v>93</v>
      </c>
      <c r="D11" s="3" t="s">
        <v>61</v>
      </c>
      <c r="E11" s="3" t="s">
        <v>62</v>
      </c>
      <c r="F11" s="5" t="s">
        <v>63</v>
      </c>
      <c r="G11" s="5" t="s">
        <v>64</v>
      </c>
      <c r="H11" s="3" t="s">
        <v>63</v>
      </c>
      <c r="I11" s="5" t="s">
        <v>63</v>
      </c>
      <c r="J11" s="7" t="s">
        <v>65</v>
      </c>
      <c r="K11" s="3" t="s">
        <v>66</v>
      </c>
      <c r="L11" s="3" t="s">
        <v>94</v>
      </c>
      <c r="M11" s="3" t="s">
        <v>95</v>
      </c>
      <c r="N11" s="3" t="s">
        <v>96</v>
      </c>
      <c r="O11" s="3" t="s">
        <v>30</v>
      </c>
      <c r="P11" s="3" t="s">
        <v>81</v>
      </c>
      <c r="Q11" s="3" t="s">
        <v>97</v>
      </c>
      <c r="R11" s="7" t="s">
        <v>72</v>
      </c>
      <c r="S11" s="3" t="s">
        <v>98</v>
      </c>
      <c r="T11" s="3" t="s">
        <v>74</v>
      </c>
      <c r="U11" s="6" t="s">
        <v>84</v>
      </c>
    </row>
    <row r="12" customFormat="false" ht="165" hidden="false" customHeight="true" outlineLevel="0" collapsed="false">
      <c r="A12" s="3" t="n">
        <v>9</v>
      </c>
      <c r="B12" s="3" t="s">
        <v>99</v>
      </c>
      <c r="C12" s="3" t="s">
        <v>100</v>
      </c>
      <c r="D12" s="3" t="s">
        <v>61</v>
      </c>
      <c r="E12" s="3" t="s">
        <v>62</v>
      </c>
      <c r="F12" s="5" t="s">
        <v>63</v>
      </c>
      <c r="G12" s="5" t="s">
        <v>64</v>
      </c>
      <c r="H12" s="3" t="s">
        <v>63</v>
      </c>
      <c r="I12" s="5" t="s">
        <v>63</v>
      </c>
      <c r="J12" s="7" t="s">
        <v>65</v>
      </c>
      <c r="K12" s="3" t="s">
        <v>66</v>
      </c>
      <c r="L12" s="3" t="s">
        <v>101</v>
      </c>
      <c r="M12" s="3" t="s">
        <v>102</v>
      </c>
      <c r="N12" s="3" t="s">
        <v>103</v>
      </c>
      <c r="O12" s="3" t="s">
        <v>30</v>
      </c>
      <c r="P12" s="3" t="s">
        <v>104</v>
      </c>
      <c r="Q12" s="3" t="s">
        <v>105</v>
      </c>
      <c r="R12" s="7" t="s">
        <v>72</v>
      </c>
      <c r="S12" s="3" t="s">
        <v>106</v>
      </c>
      <c r="T12" s="3" t="s">
        <v>74</v>
      </c>
      <c r="U12" s="6" t="s">
        <v>107</v>
      </c>
    </row>
    <row r="13" customFormat="false" ht="165" hidden="false" customHeight="true" outlineLevel="0" collapsed="false">
      <c r="A13" s="3" t="n">
        <v>10</v>
      </c>
      <c r="B13" s="3" t="s">
        <v>108</v>
      </c>
      <c r="C13" s="3" t="s">
        <v>109</v>
      </c>
      <c r="D13" s="3" t="s">
        <v>61</v>
      </c>
      <c r="E13" s="3" t="s">
        <v>62</v>
      </c>
      <c r="F13" s="5" t="s">
        <v>63</v>
      </c>
      <c r="G13" s="5" t="s">
        <v>64</v>
      </c>
      <c r="H13" s="3" t="s">
        <v>63</v>
      </c>
      <c r="I13" s="5" t="s">
        <v>63</v>
      </c>
      <c r="J13" s="7" t="s">
        <v>65</v>
      </c>
      <c r="K13" s="3" t="s">
        <v>66</v>
      </c>
      <c r="L13" s="3" t="s">
        <v>110</v>
      </c>
      <c r="M13" s="3" t="s">
        <v>111</v>
      </c>
      <c r="N13" s="3" t="s">
        <v>112</v>
      </c>
      <c r="O13" s="3" t="s">
        <v>30</v>
      </c>
      <c r="P13" s="3" t="s">
        <v>113</v>
      </c>
      <c r="Q13" s="3" t="s">
        <v>114</v>
      </c>
      <c r="R13" s="7" t="s">
        <v>72</v>
      </c>
      <c r="S13" s="3" t="s">
        <v>115</v>
      </c>
      <c r="T13" s="3" t="s">
        <v>74</v>
      </c>
      <c r="U13" s="6" t="s">
        <v>116</v>
      </c>
    </row>
    <row r="15" customFormat="false" ht="15" hidden="false" customHeight="false" outlineLevel="0" collapsed="false">
      <c r="A15" s="8" t="s">
        <v>117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</row>
    <row r="16" customFormat="false" ht="15" hidden="false" customHeight="false" outlineLevel="0" collapsed="false">
      <c r="A16" s="8" t="s">
        <v>118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</row>
    <row r="17" customFormat="false" ht="15" hidden="false" customHeight="false" outlineLevel="0" collapsed="false">
      <c r="A17" s="8" t="s">
        <v>119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</row>
    <row r="18" customFormat="false" ht="15" hidden="false" customHeight="false" outlineLevel="0" collapsed="false">
      <c r="A18" s="8" t="s">
        <v>120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</row>
    <row r="20" customFormat="false" ht="15" hidden="false" customHeight="false" outlineLevel="0" collapsed="false">
      <c r="A20" s="9" t="s">
        <v>121</v>
      </c>
    </row>
    <row r="21" customFormat="false" ht="15" hidden="false" customHeight="false" outlineLevel="0" collapsed="false">
      <c r="B21" s="10" t="s">
        <v>122</v>
      </c>
      <c r="C21" s="10"/>
      <c r="D21" s="10"/>
      <c r="E21" s="9" t="n">
        <f aca="false">COUNTA(B4:B13)</f>
        <v>10</v>
      </c>
    </row>
    <row r="22" customFormat="false" ht="15" hidden="false" customHeight="false" outlineLevel="0" collapsed="false">
      <c r="B22" s="10" t="s">
        <v>123</v>
      </c>
      <c r="C22" s="10"/>
      <c r="D22" s="10"/>
      <c r="E22" s="9" t="n">
        <f aca="false">COUNTIF(J4:J13,"Yes*")</f>
        <v>4</v>
      </c>
    </row>
    <row r="23" customFormat="false" ht="15" hidden="false" customHeight="false" outlineLevel="0" collapsed="false">
      <c r="B23" s="10" t="s">
        <v>124</v>
      </c>
      <c r="C23" s="10"/>
      <c r="D23" s="10"/>
      <c r="E23" s="9" t="n">
        <f aca="false">COUNTIF(R4:R13,"Yes*")</f>
        <v>0</v>
      </c>
    </row>
    <row r="24" customFormat="false" ht="15" hidden="false" customHeight="false" outlineLevel="0" collapsed="false">
      <c r="B24" s="10" t="s">
        <v>125</v>
      </c>
      <c r="C24" s="10"/>
      <c r="D24" s="10"/>
      <c r="E24" s="9" t="n">
        <f aca="false">COUNTIF(U4:U13,"Exception*")</f>
        <v>10</v>
      </c>
    </row>
  </sheetData>
  <mergeCells count="8">
    <mergeCell ref="A15:N15"/>
    <mergeCell ref="A16:N16"/>
    <mergeCell ref="A17:N17"/>
    <mergeCell ref="A18:N18"/>
    <mergeCell ref="B21:D21"/>
    <mergeCell ref="B22:D22"/>
    <mergeCell ref="B23:D23"/>
    <mergeCell ref="B24:D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6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8"/>
    <col collapsed="false" customWidth="true" hidden="false" outlineLevel="0" max="4" min="3" style="0" width="11"/>
    <col collapsed="false" customWidth="true" hidden="false" outlineLevel="0" max="5" min="5" style="0" width="24"/>
    <col collapsed="false" customWidth="true" hidden="false" outlineLevel="0" max="6" min="6" style="0" width="60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9" min="9" style="0" width="22"/>
    <col collapsed="false" customWidth="true" hidden="false" outlineLevel="0" max="11" min="10" style="0" width="15"/>
    <col collapsed="false" customWidth="true" hidden="false" outlineLevel="0" max="12" min="12" style="0" width="12"/>
    <col collapsed="false" customWidth="true" hidden="false" outlineLevel="0" max="13" min="13" style="0" width="9"/>
    <col collapsed="false" customWidth="true" hidden="false" outlineLevel="0" max="14" min="14" style="0" width="15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7" min="17" style="0" width="9"/>
    <col collapsed="false" customWidth="true" hidden="false" outlineLevel="0" max="18" min="18" style="0" width="55"/>
  </cols>
  <sheetData>
    <row r="1" customFormat="false" ht="15" hidden="false" customHeight="false" outlineLevel="0" collapsed="false">
      <c r="A1" s="1" t="s">
        <v>126</v>
      </c>
    </row>
    <row r="3" customFormat="false" ht="46.25" hidden="false" customHeight="false" outlineLevel="0" collapsed="false">
      <c r="A3" s="2" t="s">
        <v>127</v>
      </c>
      <c r="B3" s="2" t="s">
        <v>128</v>
      </c>
      <c r="C3" s="2" t="s">
        <v>2</v>
      </c>
      <c r="D3" s="2" t="s">
        <v>129</v>
      </c>
      <c r="E3" s="2" t="s">
        <v>130</v>
      </c>
      <c r="F3" s="2" t="s">
        <v>131</v>
      </c>
      <c r="G3" s="2" t="s">
        <v>132</v>
      </c>
      <c r="H3" s="2" t="s">
        <v>133</v>
      </c>
      <c r="I3" s="2" t="s">
        <v>134</v>
      </c>
      <c r="J3" s="2" t="s">
        <v>135</v>
      </c>
      <c r="K3" s="2" t="s">
        <v>136</v>
      </c>
      <c r="L3" s="2" t="s">
        <v>137</v>
      </c>
      <c r="M3" s="2" t="s">
        <v>138</v>
      </c>
      <c r="N3" s="2" t="s">
        <v>139</v>
      </c>
      <c r="O3" s="2" t="s">
        <v>140</v>
      </c>
      <c r="P3" s="2" t="s">
        <v>141</v>
      </c>
      <c r="Q3" s="2" t="s">
        <v>142</v>
      </c>
      <c r="R3" s="2" t="s">
        <v>143</v>
      </c>
    </row>
    <row r="4" customFormat="false" ht="23.85" hidden="false" customHeight="false" outlineLevel="0" collapsed="false">
      <c r="A4" s="3" t="s">
        <v>144</v>
      </c>
      <c r="B4" s="3" t="n">
        <v>431</v>
      </c>
      <c r="C4" s="3" t="s">
        <v>22</v>
      </c>
      <c r="D4" s="3" t="n">
        <v>100546241</v>
      </c>
      <c r="E4" s="3" t="s">
        <v>145</v>
      </c>
      <c r="F4" s="3" t="s">
        <v>146</v>
      </c>
      <c r="G4" s="3" t="s">
        <v>147</v>
      </c>
      <c r="H4" s="3"/>
      <c r="I4" s="3" t="s">
        <v>148</v>
      </c>
      <c r="J4" s="3" t="s">
        <v>149</v>
      </c>
      <c r="K4" s="3" t="s">
        <v>149</v>
      </c>
      <c r="L4" s="3" t="s">
        <v>30</v>
      </c>
      <c r="M4" s="11" t="b">
        <f aca="false">FALSE()</f>
        <v>0</v>
      </c>
      <c r="N4" s="3" t="s">
        <v>150</v>
      </c>
      <c r="O4" s="3" t="s">
        <v>42</v>
      </c>
      <c r="P4" s="11" t="b">
        <f aca="false">TRUE()</f>
        <v>1</v>
      </c>
      <c r="Q4" s="3" t="s">
        <v>151</v>
      </c>
      <c r="R4" s="6" t="s">
        <v>152</v>
      </c>
    </row>
    <row r="5" customFormat="false" ht="35.05" hidden="false" customHeight="false" outlineLevel="0" collapsed="false">
      <c r="A5" s="3" t="s">
        <v>144</v>
      </c>
      <c r="B5" s="3" t="n">
        <v>432</v>
      </c>
      <c r="C5" s="3" t="s">
        <v>22</v>
      </c>
      <c r="D5" s="3" t="n">
        <v>100546241</v>
      </c>
      <c r="E5" s="3" t="s">
        <v>145</v>
      </c>
      <c r="F5" s="3" t="s">
        <v>153</v>
      </c>
      <c r="G5" s="3" t="s">
        <v>147</v>
      </c>
      <c r="H5" s="3"/>
      <c r="I5" s="3" t="s">
        <v>148</v>
      </c>
      <c r="J5" s="3" t="s">
        <v>149</v>
      </c>
      <c r="K5" s="3" t="s">
        <v>149</v>
      </c>
      <c r="L5" s="3" t="s">
        <v>30</v>
      </c>
      <c r="M5" s="11" t="b">
        <f aca="false">FALSE()</f>
        <v>0</v>
      </c>
      <c r="N5" s="3" t="s">
        <v>150</v>
      </c>
      <c r="O5" s="3" t="s">
        <v>42</v>
      </c>
      <c r="P5" s="11" t="b">
        <f aca="false">TRUE()</f>
        <v>1</v>
      </c>
      <c r="Q5" s="3" t="s">
        <v>151</v>
      </c>
      <c r="R5" s="6" t="s">
        <v>154</v>
      </c>
    </row>
    <row r="6" customFormat="false" ht="35.05" hidden="false" customHeight="false" outlineLevel="0" collapsed="false">
      <c r="A6" s="3" t="s">
        <v>144</v>
      </c>
      <c r="B6" s="3" t="n">
        <v>433</v>
      </c>
      <c r="C6" s="3" t="s">
        <v>22</v>
      </c>
      <c r="D6" s="3" t="n">
        <v>100546241</v>
      </c>
      <c r="E6" s="3" t="s">
        <v>145</v>
      </c>
      <c r="F6" s="3" t="s">
        <v>155</v>
      </c>
      <c r="G6" s="3" t="s">
        <v>147</v>
      </c>
      <c r="H6" s="3"/>
      <c r="I6" s="3" t="s">
        <v>148</v>
      </c>
      <c r="J6" s="3" t="s">
        <v>149</v>
      </c>
      <c r="K6" s="3" t="s">
        <v>149</v>
      </c>
      <c r="L6" s="3" t="s">
        <v>30</v>
      </c>
      <c r="M6" s="11" t="b">
        <f aca="false">FALSE()</f>
        <v>0</v>
      </c>
      <c r="N6" s="3" t="s">
        <v>150</v>
      </c>
      <c r="O6" s="3" t="s">
        <v>42</v>
      </c>
      <c r="P6" s="11" t="b">
        <f aca="false">TRUE()</f>
        <v>1</v>
      </c>
      <c r="Q6" s="3" t="s">
        <v>151</v>
      </c>
      <c r="R6" s="6" t="s">
        <v>154</v>
      </c>
    </row>
    <row r="7" customFormat="false" ht="35.05" hidden="false" customHeight="false" outlineLevel="0" collapsed="false">
      <c r="A7" s="3" t="s">
        <v>156</v>
      </c>
      <c r="B7" s="3" t="n">
        <v>98</v>
      </c>
      <c r="C7" s="3" t="s">
        <v>22</v>
      </c>
      <c r="D7" s="3" t="n">
        <v>100546241</v>
      </c>
      <c r="E7" s="3" t="s">
        <v>145</v>
      </c>
      <c r="F7" s="3" t="s">
        <v>157</v>
      </c>
      <c r="G7" s="3" t="s">
        <v>147</v>
      </c>
      <c r="H7" s="3"/>
      <c r="I7" s="3" t="s">
        <v>148</v>
      </c>
      <c r="J7" s="3" t="s">
        <v>158</v>
      </c>
      <c r="K7" s="3" t="s">
        <v>158</v>
      </c>
      <c r="L7" s="3" t="s">
        <v>30</v>
      </c>
      <c r="M7" s="11" t="b">
        <f aca="false">FALSE()</f>
        <v>0</v>
      </c>
      <c r="N7" s="3" t="s">
        <v>150</v>
      </c>
      <c r="O7" s="3" t="s">
        <v>42</v>
      </c>
      <c r="P7" s="11" t="b">
        <f aca="false">TRUE()</f>
        <v>1</v>
      </c>
      <c r="Q7" s="3" t="s">
        <v>151</v>
      </c>
      <c r="R7" s="6" t="s">
        <v>152</v>
      </c>
    </row>
    <row r="8" customFormat="false" ht="35.05" hidden="false" customHeight="false" outlineLevel="0" collapsed="false">
      <c r="A8" s="3" t="s">
        <v>156</v>
      </c>
      <c r="B8" s="3" t="n">
        <v>99</v>
      </c>
      <c r="C8" s="3" t="s">
        <v>22</v>
      </c>
      <c r="D8" s="3" t="n">
        <v>100546241</v>
      </c>
      <c r="E8" s="3" t="s">
        <v>145</v>
      </c>
      <c r="F8" s="3" t="s">
        <v>159</v>
      </c>
      <c r="G8" s="3" t="s">
        <v>147</v>
      </c>
      <c r="H8" s="3"/>
      <c r="I8" s="3" t="s">
        <v>148</v>
      </c>
      <c r="J8" s="3" t="s">
        <v>158</v>
      </c>
      <c r="K8" s="3" t="s">
        <v>158</v>
      </c>
      <c r="L8" s="3" t="s">
        <v>30</v>
      </c>
      <c r="M8" s="11" t="b">
        <f aca="false">FALSE()</f>
        <v>0</v>
      </c>
      <c r="N8" s="3" t="s">
        <v>150</v>
      </c>
      <c r="O8" s="3" t="s">
        <v>42</v>
      </c>
      <c r="P8" s="11" t="b">
        <f aca="false">TRUE()</f>
        <v>1</v>
      </c>
      <c r="Q8" s="3" t="s">
        <v>151</v>
      </c>
      <c r="R8" s="6" t="s">
        <v>154</v>
      </c>
    </row>
    <row r="9" customFormat="false" ht="35.05" hidden="false" customHeight="false" outlineLevel="0" collapsed="false">
      <c r="A9" s="3" t="s">
        <v>156</v>
      </c>
      <c r="B9" s="3" t="n">
        <v>100</v>
      </c>
      <c r="C9" s="3" t="s">
        <v>22</v>
      </c>
      <c r="D9" s="3" t="n">
        <v>100546241</v>
      </c>
      <c r="E9" s="3" t="s">
        <v>145</v>
      </c>
      <c r="F9" s="3" t="s">
        <v>160</v>
      </c>
      <c r="G9" s="3" t="s">
        <v>147</v>
      </c>
      <c r="H9" s="3"/>
      <c r="I9" s="3" t="s">
        <v>148</v>
      </c>
      <c r="J9" s="3" t="s">
        <v>158</v>
      </c>
      <c r="K9" s="3" t="s">
        <v>158</v>
      </c>
      <c r="L9" s="3" t="s">
        <v>30</v>
      </c>
      <c r="M9" s="11" t="b">
        <f aca="false">FALSE()</f>
        <v>0</v>
      </c>
      <c r="N9" s="3" t="s">
        <v>150</v>
      </c>
      <c r="O9" s="3" t="s">
        <v>42</v>
      </c>
      <c r="P9" s="11" t="b">
        <f aca="false">TRUE()</f>
        <v>1</v>
      </c>
      <c r="Q9" s="3" t="s">
        <v>151</v>
      </c>
      <c r="R9" s="6" t="s">
        <v>154</v>
      </c>
    </row>
    <row r="10" customFormat="false" ht="23.85" hidden="false" customHeight="false" outlineLevel="0" collapsed="false">
      <c r="A10" s="3" t="s">
        <v>144</v>
      </c>
      <c r="B10" s="3" t="n">
        <v>467</v>
      </c>
      <c r="C10" s="3" t="s">
        <v>36</v>
      </c>
      <c r="D10" s="3" t="s">
        <v>36</v>
      </c>
      <c r="E10" s="3" t="s">
        <v>161</v>
      </c>
      <c r="F10" s="3" t="s">
        <v>162</v>
      </c>
      <c r="G10" s="3" t="s">
        <v>147</v>
      </c>
      <c r="H10" s="3"/>
      <c r="I10" s="3" t="s">
        <v>148</v>
      </c>
      <c r="J10" s="3" t="s">
        <v>149</v>
      </c>
      <c r="K10" s="3" t="s">
        <v>149</v>
      </c>
      <c r="L10" s="3" t="s">
        <v>42</v>
      </c>
      <c r="M10" s="11" t="b">
        <f aca="false">FALSE()</f>
        <v>0</v>
      </c>
      <c r="N10" s="3" t="s">
        <v>150</v>
      </c>
      <c r="O10" s="3" t="s">
        <v>42</v>
      </c>
      <c r="P10" s="11" t="b">
        <f aca="false">TRUE()</f>
        <v>1</v>
      </c>
      <c r="Q10" s="3" t="s">
        <v>151</v>
      </c>
      <c r="R10" s="6" t="s">
        <v>163</v>
      </c>
    </row>
    <row r="11" customFormat="false" ht="23.85" hidden="false" customHeight="false" outlineLevel="0" collapsed="false">
      <c r="A11" s="3" t="s">
        <v>144</v>
      </c>
      <c r="B11" s="3" t="n">
        <v>468</v>
      </c>
      <c r="C11" s="3" t="s">
        <v>36</v>
      </c>
      <c r="D11" s="3" t="s">
        <v>36</v>
      </c>
      <c r="E11" s="3" t="s">
        <v>161</v>
      </c>
      <c r="F11" s="3" t="s">
        <v>164</v>
      </c>
      <c r="G11" s="3" t="s">
        <v>147</v>
      </c>
      <c r="H11" s="3"/>
      <c r="I11" s="3" t="s">
        <v>148</v>
      </c>
      <c r="J11" s="3" t="s">
        <v>149</v>
      </c>
      <c r="K11" s="3" t="s">
        <v>149</v>
      </c>
      <c r="L11" s="3" t="s">
        <v>42</v>
      </c>
      <c r="M11" s="11" t="b">
        <f aca="false">FALSE()</f>
        <v>0</v>
      </c>
      <c r="N11" s="3" t="s">
        <v>150</v>
      </c>
      <c r="O11" s="3" t="s">
        <v>42</v>
      </c>
      <c r="P11" s="11" t="b">
        <f aca="false">TRUE()</f>
        <v>1</v>
      </c>
      <c r="Q11" s="3" t="s">
        <v>151</v>
      </c>
      <c r="R11" s="12" t="s">
        <v>165</v>
      </c>
    </row>
    <row r="12" customFormat="false" ht="35.05" hidden="false" customHeight="false" outlineLevel="0" collapsed="false">
      <c r="A12" s="3" t="s">
        <v>156</v>
      </c>
      <c r="B12" s="3" t="n">
        <v>140</v>
      </c>
      <c r="C12" s="3" t="s">
        <v>36</v>
      </c>
      <c r="D12" s="3" t="s">
        <v>36</v>
      </c>
      <c r="E12" s="3" t="s">
        <v>161</v>
      </c>
      <c r="F12" s="3" t="s">
        <v>166</v>
      </c>
      <c r="G12" s="3" t="s">
        <v>147</v>
      </c>
      <c r="H12" s="3"/>
      <c r="I12" s="3" t="s">
        <v>148</v>
      </c>
      <c r="J12" s="3" t="s">
        <v>158</v>
      </c>
      <c r="K12" s="3" t="s">
        <v>158</v>
      </c>
      <c r="L12" s="3" t="s">
        <v>42</v>
      </c>
      <c r="M12" s="11" t="b">
        <f aca="false">FALSE()</f>
        <v>0</v>
      </c>
      <c r="N12" s="3" t="s">
        <v>150</v>
      </c>
      <c r="O12" s="3" t="s">
        <v>42</v>
      </c>
      <c r="P12" s="11" t="b">
        <f aca="false">TRUE()</f>
        <v>1</v>
      </c>
      <c r="Q12" s="3" t="s">
        <v>151</v>
      </c>
      <c r="R12" s="12" t="s">
        <v>165</v>
      </c>
    </row>
    <row r="13" customFormat="false" ht="35.05" hidden="false" customHeight="false" outlineLevel="0" collapsed="false">
      <c r="A13" s="3" t="s">
        <v>156</v>
      </c>
      <c r="B13" s="3" t="n">
        <v>141</v>
      </c>
      <c r="C13" s="3" t="s">
        <v>36</v>
      </c>
      <c r="D13" s="3" t="s">
        <v>36</v>
      </c>
      <c r="E13" s="3" t="s">
        <v>161</v>
      </c>
      <c r="F13" s="3" t="s">
        <v>167</v>
      </c>
      <c r="G13" s="3" t="s">
        <v>147</v>
      </c>
      <c r="H13" s="3"/>
      <c r="I13" s="3" t="s">
        <v>148</v>
      </c>
      <c r="J13" s="3" t="s">
        <v>158</v>
      </c>
      <c r="K13" s="3" t="s">
        <v>158</v>
      </c>
      <c r="L13" s="3" t="s">
        <v>42</v>
      </c>
      <c r="M13" s="11" t="b">
        <f aca="false">FALSE()</f>
        <v>0</v>
      </c>
      <c r="N13" s="3" t="s">
        <v>150</v>
      </c>
      <c r="O13" s="3" t="s">
        <v>42</v>
      </c>
      <c r="P13" s="11" t="b">
        <f aca="false">TRUE()</f>
        <v>1</v>
      </c>
      <c r="Q13" s="3" t="s">
        <v>151</v>
      </c>
      <c r="R13" s="6" t="s">
        <v>163</v>
      </c>
    </row>
    <row r="14" customFormat="false" ht="35.05" hidden="false" customHeight="false" outlineLevel="0" collapsed="false">
      <c r="A14" s="3" t="s">
        <v>156</v>
      </c>
      <c r="B14" s="3" t="n">
        <v>142</v>
      </c>
      <c r="C14" s="3" t="s">
        <v>36</v>
      </c>
      <c r="D14" s="3" t="s">
        <v>36</v>
      </c>
      <c r="E14" s="3" t="s">
        <v>161</v>
      </c>
      <c r="F14" s="3" t="s">
        <v>168</v>
      </c>
      <c r="G14" s="3" t="s">
        <v>147</v>
      </c>
      <c r="H14" s="3"/>
      <c r="I14" s="3" t="s">
        <v>148</v>
      </c>
      <c r="J14" s="3" t="s">
        <v>158</v>
      </c>
      <c r="K14" s="3" t="s">
        <v>158</v>
      </c>
      <c r="L14" s="3" t="s">
        <v>42</v>
      </c>
      <c r="M14" s="11" t="b">
        <f aca="false">FALSE()</f>
        <v>0</v>
      </c>
      <c r="N14" s="3" t="s">
        <v>150</v>
      </c>
      <c r="O14" s="3" t="s">
        <v>42</v>
      </c>
      <c r="P14" s="11" t="b">
        <f aca="false">TRUE()</f>
        <v>1</v>
      </c>
      <c r="Q14" s="3" t="s">
        <v>151</v>
      </c>
      <c r="R14" s="12" t="s">
        <v>165</v>
      </c>
    </row>
    <row r="15" customFormat="false" ht="35.05" hidden="false" customHeight="false" outlineLevel="0" collapsed="false">
      <c r="A15" s="3" t="s">
        <v>144</v>
      </c>
      <c r="B15" s="3" t="n">
        <v>469</v>
      </c>
      <c r="C15" s="3" t="s">
        <v>45</v>
      </c>
      <c r="D15" s="3" t="s">
        <v>45</v>
      </c>
      <c r="E15" s="3" t="s">
        <v>169</v>
      </c>
      <c r="F15" s="3" t="s">
        <v>170</v>
      </c>
      <c r="G15" s="3" t="s">
        <v>147</v>
      </c>
      <c r="H15" s="3"/>
      <c r="I15" s="3" t="s">
        <v>148</v>
      </c>
      <c r="J15" s="3" t="s">
        <v>149</v>
      </c>
      <c r="K15" s="3" t="s">
        <v>149</v>
      </c>
      <c r="L15" s="3" t="s">
        <v>42</v>
      </c>
      <c r="M15" s="11" t="b">
        <f aca="false">FALSE()</f>
        <v>0</v>
      </c>
      <c r="N15" s="3" t="s">
        <v>150</v>
      </c>
      <c r="O15" s="3" t="s">
        <v>42</v>
      </c>
      <c r="P15" s="11" t="b">
        <f aca="false">TRUE()</f>
        <v>1</v>
      </c>
      <c r="Q15" s="3" t="s">
        <v>151</v>
      </c>
      <c r="R15" s="6" t="s">
        <v>163</v>
      </c>
    </row>
    <row r="16" customFormat="false" ht="23.85" hidden="false" customHeight="false" outlineLevel="0" collapsed="false">
      <c r="A16" s="3" t="s">
        <v>144</v>
      </c>
      <c r="B16" s="3" t="n">
        <v>470</v>
      </c>
      <c r="C16" s="3" t="s">
        <v>45</v>
      </c>
      <c r="D16" s="3" t="s">
        <v>45</v>
      </c>
      <c r="E16" s="3" t="s">
        <v>169</v>
      </c>
      <c r="F16" s="3" t="s">
        <v>171</v>
      </c>
      <c r="G16" s="3" t="s">
        <v>147</v>
      </c>
      <c r="H16" s="3"/>
      <c r="I16" s="3" t="s">
        <v>148</v>
      </c>
      <c r="J16" s="3" t="s">
        <v>149</v>
      </c>
      <c r="K16" s="3" t="s">
        <v>149</v>
      </c>
      <c r="L16" s="3" t="s">
        <v>42</v>
      </c>
      <c r="M16" s="11" t="b">
        <f aca="false">FALSE()</f>
        <v>0</v>
      </c>
      <c r="N16" s="3" t="s">
        <v>150</v>
      </c>
      <c r="O16" s="3" t="s">
        <v>42</v>
      </c>
      <c r="P16" s="11" t="b">
        <f aca="false">TRUE()</f>
        <v>1</v>
      </c>
      <c r="Q16" s="3" t="s">
        <v>151</v>
      </c>
      <c r="R16" s="12" t="s">
        <v>165</v>
      </c>
    </row>
    <row r="17" customFormat="false" ht="23.85" hidden="false" customHeight="false" outlineLevel="0" collapsed="false">
      <c r="A17" s="3" t="s">
        <v>144</v>
      </c>
      <c r="B17" s="3" t="n">
        <v>471</v>
      </c>
      <c r="C17" s="3" t="s">
        <v>45</v>
      </c>
      <c r="D17" s="3" t="s">
        <v>45</v>
      </c>
      <c r="E17" s="3" t="s">
        <v>169</v>
      </c>
      <c r="F17" s="3" t="s">
        <v>172</v>
      </c>
      <c r="G17" s="3" t="s">
        <v>147</v>
      </c>
      <c r="H17" s="3"/>
      <c r="I17" s="3" t="s">
        <v>148</v>
      </c>
      <c r="J17" s="3" t="s">
        <v>149</v>
      </c>
      <c r="K17" s="3" t="s">
        <v>149</v>
      </c>
      <c r="L17" s="3" t="s">
        <v>42</v>
      </c>
      <c r="M17" s="11" t="b">
        <f aca="false">FALSE()</f>
        <v>0</v>
      </c>
      <c r="N17" s="3" t="s">
        <v>150</v>
      </c>
      <c r="O17" s="3" t="s">
        <v>42</v>
      </c>
      <c r="P17" s="11" t="b">
        <f aca="false">TRUE()</f>
        <v>1</v>
      </c>
      <c r="Q17" s="3" t="s">
        <v>151</v>
      </c>
      <c r="R17" s="12" t="s">
        <v>165</v>
      </c>
    </row>
    <row r="18" customFormat="false" ht="35.05" hidden="false" customHeight="false" outlineLevel="0" collapsed="false">
      <c r="A18" s="3" t="s">
        <v>156</v>
      </c>
      <c r="B18" s="3" t="n">
        <v>143</v>
      </c>
      <c r="C18" s="3" t="s">
        <v>45</v>
      </c>
      <c r="D18" s="3" t="s">
        <v>45</v>
      </c>
      <c r="E18" s="3" t="s">
        <v>169</v>
      </c>
      <c r="F18" s="3" t="s">
        <v>173</v>
      </c>
      <c r="G18" s="3" t="s">
        <v>147</v>
      </c>
      <c r="H18" s="3"/>
      <c r="I18" s="3" t="s">
        <v>148</v>
      </c>
      <c r="J18" s="3" t="s">
        <v>158</v>
      </c>
      <c r="K18" s="3" t="s">
        <v>158</v>
      </c>
      <c r="L18" s="3" t="s">
        <v>42</v>
      </c>
      <c r="M18" s="11" t="b">
        <f aca="false">FALSE()</f>
        <v>0</v>
      </c>
      <c r="N18" s="3" t="s">
        <v>150</v>
      </c>
      <c r="O18" s="3" t="s">
        <v>42</v>
      </c>
      <c r="P18" s="11" t="b">
        <f aca="false">TRUE()</f>
        <v>1</v>
      </c>
      <c r="Q18" s="3" t="s">
        <v>151</v>
      </c>
      <c r="R18" s="12" t="s">
        <v>165</v>
      </c>
    </row>
    <row r="19" customFormat="false" ht="35.05" hidden="false" customHeight="false" outlineLevel="0" collapsed="false">
      <c r="A19" s="3" t="s">
        <v>156</v>
      </c>
      <c r="B19" s="3" t="n">
        <v>144</v>
      </c>
      <c r="C19" s="3" t="s">
        <v>45</v>
      </c>
      <c r="D19" s="3" t="s">
        <v>45</v>
      </c>
      <c r="E19" s="3" t="s">
        <v>169</v>
      </c>
      <c r="F19" s="3" t="s">
        <v>174</v>
      </c>
      <c r="G19" s="3" t="s">
        <v>147</v>
      </c>
      <c r="H19" s="3"/>
      <c r="I19" s="3" t="s">
        <v>148</v>
      </c>
      <c r="J19" s="3" t="s">
        <v>158</v>
      </c>
      <c r="K19" s="3" t="s">
        <v>158</v>
      </c>
      <c r="L19" s="3" t="s">
        <v>42</v>
      </c>
      <c r="M19" s="11" t="b">
        <f aca="false">FALSE()</f>
        <v>0</v>
      </c>
      <c r="N19" s="3" t="s">
        <v>150</v>
      </c>
      <c r="O19" s="3" t="s">
        <v>42</v>
      </c>
      <c r="P19" s="11" t="b">
        <f aca="false">TRUE()</f>
        <v>1</v>
      </c>
      <c r="Q19" s="3" t="s">
        <v>151</v>
      </c>
      <c r="R19" s="6" t="s">
        <v>163</v>
      </c>
    </row>
    <row r="20" customFormat="false" ht="35.05" hidden="false" customHeight="false" outlineLevel="0" collapsed="false">
      <c r="A20" s="3" t="s">
        <v>156</v>
      </c>
      <c r="B20" s="3" t="n">
        <v>145</v>
      </c>
      <c r="C20" s="3" t="s">
        <v>45</v>
      </c>
      <c r="D20" s="3" t="s">
        <v>45</v>
      </c>
      <c r="E20" s="3" t="s">
        <v>169</v>
      </c>
      <c r="F20" s="3" t="s">
        <v>175</v>
      </c>
      <c r="G20" s="3" t="s">
        <v>147</v>
      </c>
      <c r="H20" s="3"/>
      <c r="I20" s="3" t="s">
        <v>148</v>
      </c>
      <c r="J20" s="3" t="s">
        <v>158</v>
      </c>
      <c r="K20" s="3" t="s">
        <v>158</v>
      </c>
      <c r="L20" s="3" t="s">
        <v>42</v>
      </c>
      <c r="M20" s="11" t="b">
        <f aca="false">FALSE()</f>
        <v>0</v>
      </c>
      <c r="N20" s="3" t="s">
        <v>150</v>
      </c>
      <c r="O20" s="3" t="s">
        <v>42</v>
      </c>
      <c r="P20" s="11" t="b">
        <f aca="false">TRUE()</f>
        <v>1</v>
      </c>
      <c r="Q20" s="3" t="s">
        <v>151</v>
      </c>
      <c r="R20" s="12" t="s">
        <v>165</v>
      </c>
    </row>
    <row r="21" customFormat="false" ht="23.85" hidden="false" customHeight="false" outlineLevel="0" collapsed="false">
      <c r="A21" s="3" t="s">
        <v>144</v>
      </c>
      <c r="B21" s="3" t="n">
        <v>443</v>
      </c>
      <c r="C21" s="3" t="s">
        <v>52</v>
      </c>
      <c r="D21" s="3" t="n">
        <v>100611758</v>
      </c>
      <c r="E21" s="3" t="s">
        <v>176</v>
      </c>
      <c r="F21" s="3" t="s">
        <v>177</v>
      </c>
      <c r="G21" s="3" t="s">
        <v>147</v>
      </c>
      <c r="H21" s="3"/>
      <c r="I21" s="3" t="s">
        <v>148</v>
      </c>
      <c r="J21" s="3" t="s">
        <v>149</v>
      </c>
      <c r="K21" s="3" t="s">
        <v>149</v>
      </c>
      <c r="L21" s="3" t="s">
        <v>42</v>
      </c>
      <c r="M21" s="11" t="b">
        <f aca="false">FALSE()</f>
        <v>0</v>
      </c>
      <c r="N21" s="3" t="s">
        <v>150</v>
      </c>
      <c r="O21" s="3" t="s">
        <v>42</v>
      </c>
      <c r="P21" s="11" t="b">
        <f aca="false">TRUE()</f>
        <v>1</v>
      </c>
      <c r="Q21" s="3" t="s">
        <v>151</v>
      </c>
      <c r="R21" s="12" t="s">
        <v>165</v>
      </c>
    </row>
    <row r="22" customFormat="false" ht="35.05" hidden="false" customHeight="false" outlineLevel="0" collapsed="false">
      <c r="A22" s="3" t="s">
        <v>144</v>
      </c>
      <c r="B22" s="3" t="n">
        <v>444</v>
      </c>
      <c r="C22" s="3" t="s">
        <v>52</v>
      </c>
      <c r="D22" s="3" t="n">
        <v>100611758</v>
      </c>
      <c r="E22" s="3" t="s">
        <v>176</v>
      </c>
      <c r="F22" s="3" t="s">
        <v>178</v>
      </c>
      <c r="G22" s="3" t="s">
        <v>147</v>
      </c>
      <c r="H22" s="3"/>
      <c r="I22" s="3" t="s">
        <v>148</v>
      </c>
      <c r="J22" s="3" t="s">
        <v>149</v>
      </c>
      <c r="K22" s="3" t="s">
        <v>149</v>
      </c>
      <c r="L22" s="3" t="s">
        <v>42</v>
      </c>
      <c r="M22" s="11" t="b">
        <f aca="false">FALSE()</f>
        <v>0</v>
      </c>
      <c r="N22" s="3" t="s">
        <v>150</v>
      </c>
      <c r="O22" s="3" t="s">
        <v>42</v>
      </c>
      <c r="P22" s="11" t="b">
        <f aca="false">TRUE()</f>
        <v>1</v>
      </c>
      <c r="Q22" s="3" t="s">
        <v>151</v>
      </c>
      <c r="R22" s="6" t="s">
        <v>163</v>
      </c>
    </row>
    <row r="23" customFormat="false" ht="23.85" hidden="false" customHeight="false" outlineLevel="0" collapsed="false">
      <c r="A23" s="3" t="s">
        <v>144</v>
      </c>
      <c r="B23" s="3" t="n">
        <v>445</v>
      </c>
      <c r="C23" s="3" t="s">
        <v>52</v>
      </c>
      <c r="D23" s="3" t="n">
        <v>100611758</v>
      </c>
      <c r="E23" s="3" t="s">
        <v>176</v>
      </c>
      <c r="F23" s="3" t="s">
        <v>179</v>
      </c>
      <c r="G23" s="3" t="s">
        <v>147</v>
      </c>
      <c r="H23" s="3"/>
      <c r="I23" s="3" t="s">
        <v>148</v>
      </c>
      <c r="J23" s="3" t="s">
        <v>149</v>
      </c>
      <c r="K23" s="3" t="s">
        <v>149</v>
      </c>
      <c r="L23" s="3" t="s">
        <v>42</v>
      </c>
      <c r="M23" s="11" t="b">
        <f aca="false">FALSE()</f>
        <v>0</v>
      </c>
      <c r="N23" s="3" t="s">
        <v>150</v>
      </c>
      <c r="O23" s="3" t="s">
        <v>42</v>
      </c>
      <c r="P23" s="11" t="b">
        <f aca="false">TRUE()</f>
        <v>1</v>
      </c>
      <c r="Q23" s="3" t="s">
        <v>151</v>
      </c>
      <c r="R23" s="6" t="s">
        <v>163</v>
      </c>
    </row>
    <row r="24" customFormat="false" ht="35.05" hidden="false" customHeight="false" outlineLevel="0" collapsed="false">
      <c r="A24" s="3" t="s">
        <v>156</v>
      </c>
      <c r="B24" s="3" t="n">
        <v>110</v>
      </c>
      <c r="C24" s="3" t="s">
        <v>52</v>
      </c>
      <c r="D24" s="3" t="n">
        <v>100611758</v>
      </c>
      <c r="E24" s="3" t="s">
        <v>176</v>
      </c>
      <c r="F24" s="3" t="s">
        <v>180</v>
      </c>
      <c r="G24" s="3" t="s">
        <v>147</v>
      </c>
      <c r="H24" s="3"/>
      <c r="I24" s="3" t="s">
        <v>148</v>
      </c>
      <c r="J24" s="3" t="s">
        <v>158</v>
      </c>
      <c r="K24" s="3" t="s">
        <v>158</v>
      </c>
      <c r="L24" s="3" t="s">
        <v>42</v>
      </c>
      <c r="M24" s="11" t="b">
        <f aca="false">FALSE()</f>
        <v>0</v>
      </c>
      <c r="N24" s="3" t="s">
        <v>150</v>
      </c>
      <c r="O24" s="3" t="s">
        <v>42</v>
      </c>
      <c r="P24" s="11" t="b">
        <f aca="false">TRUE()</f>
        <v>1</v>
      </c>
      <c r="Q24" s="3" t="s">
        <v>151</v>
      </c>
      <c r="R24" s="12" t="s">
        <v>165</v>
      </c>
    </row>
    <row r="25" customFormat="false" ht="35.05" hidden="false" customHeight="false" outlineLevel="0" collapsed="false">
      <c r="A25" s="3" t="s">
        <v>156</v>
      </c>
      <c r="B25" s="3" t="n">
        <v>111</v>
      </c>
      <c r="C25" s="3" t="s">
        <v>52</v>
      </c>
      <c r="D25" s="3" t="n">
        <v>100611758</v>
      </c>
      <c r="E25" s="3" t="s">
        <v>176</v>
      </c>
      <c r="F25" s="3" t="s">
        <v>181</v>
      </c>
      <c r="G25" s="3" t="s">
        <v>147</v>
      </c>
      <c r="H25" s="3"/>
      <c r="I25" s="3" t="s">
        <v>148</v>
      </c>
      <c r="J25" s="3" t="s">
        <v>158</v>
      </c>
      <c r="K25" s="3" t="s">
        <v>158</v>
      </c>
      <c r="L25" s="3" t="s">
        <v>42</v>
      </c>
      <c r="M25" s="11" t="b">
        <f aca="false">FALSE()</f>
        <v>0</v>
      </c>
      <c r="N25" s="3" t="s">
        <v>150</v>
      </c>
      <c r="O25" s="3" t="s">
        <v>42</v>
      </c>
      <c r="P25" s="11" t="b">
        <f aca="false">TRUE()</f>
        <v>1</v>
      </c>
      <c r="Q25" s="3" t="s">
        <v>151</v>
      </c>
      <c r="R25" s="6" t="s">
        <v>163</v>
      </c>
    </row>
    <row r="26" customFormat="false" ht="23.85" hidden="false" customHeight="false" outlineLevel="0" collapsed="false">
      <c r="A26" s="3" t="s">
        <v>156</v>
      </c>
      <c r="B26" s="3" t="n">
        <v>112</v>
      </c>
      <c r="C26" s="3" t="s">
        <v>52</v>
      </c>
      <c r="D26" s="3" t="n">
        <v>100611758</v>
      </c>
      <c r="E26" s="3" t="s">
        <v>176</v>
      </c>
      <c r="F26" s="3" t="s">
        <v>182</v>
      </c>
      <c r="G26" s="3" t="s">
        <v>147</v>
      </c>
      <c r="H26" s="3"/>
      <c r="I26" s="3" t="s">
        <v>148</v>
      </c>
      <c r="J26" s="3" t="s">
        <v>158</v>
      </c>
      <c r="K26" s="3" t="s">
        <v>158</v>
      </c>
      <c r="L26" s="3" t="s">
        <v>42</v>
      </c>
      <c r="M26" s="11" t="b">
        <f aca="false">FALSE()</f>
        <v>0</v>
      </c>
      <c r="N26" s="3" t="s">
        <v>150</v>
      </c>
      <c r="O26" s="3" t="s">
        <v>42</v>
      </c>
      <c r="P26" s="11" t="b">
        <f aca="false">TRUE()</f>
        <v>1</v>
      </c>
      <c r="Q26" s="3" t="s">
        <v>151</v>
      </c>
      <c r="R26" s="6" t="s">
        <v>163</v>
      </c>
    </row>
    <row r="27" customFormat="false" ht="35.05" hidden="false" customHeight="false" outlineLevel="0" collapsed="false">
      <c r="A27" s="3" t="s">
        <v>144</v>
      </c>
      <c r="B27" s="3" t="n">
        <v>419</v>
      </c>
      <c r="C27" s="3" t="s">
        <v>59</v>
      </c>
      <c r="D27" s="3" t="n">
        <v>100531048</v>
      </c>
      <c r="E27" s="3" t="s">
        <v>183</v>
      </c>
      <c r="F27" s="3" t="s">
        <v>184</v>
      </c>
      <c r="G27" s="3" t="s">
        <v>147</v>
      </c>
      <c r="H27" s="3"/>
      <c r="I27" s="3" t="s">
        <v>148</v>
      </c>
      <c r="J27" s="3" t="s">
        <v>149</v>
      </c>
      <c r="K27" s="3" t="s">
        <v>149</v>
      </c>
      <c r="L27" s="3" t="s">
        <v>30</v>
      </c>
      <c r="M27" s="11" t="b">
        <f aca="false">FALSE()</f>
        <v>0</v>
      </c>
      <c r="N27" s="3" t="s">
        <v>150</v>
      </c>
      <c r="O27" s="3" t="s">
        <v>42</v>
      </c>
      <c r="P27" s="11" t="b">
        <f aca="false">FALSE()</f>
        <v>0</v>
      </c>
      <c r="Q27" s="3" t="s">
        <v>151</v>
      </c>
      <c r="R27" s="6" t="s">
        <v>185</v>
      </c>
    </row>
    <row r="28" customFormat="false" ht="23.85" hidden="false" customHeight="false" outlineLevel="0" collapsed="false">
      <c r="A28" s="3" t="s">
        <v>144</v>
      </c>
      <c r="B28" s="3" t="n">
        <v>420</v>
      </c>
      <c r="C28" s="3" t="s">
        <v>59</v>
      </c>
      <c r="D28" s="3" t="n">
        <v>100531048</v>
      </c>
      <c r="E28" s="3" t="s">
        <v>183</v>
      </c>
      <c r="F28" s="3" t="s">
        <v>186</v>
      </c>
      <c r="G28" s="3" t="s">
        <v>147</v>
      </c>
      <c r="H28" s="3"/>
      <c r="I28" s="3" t="s">
        <v>148</v>
      </c>
      <c r="J28" s="3" t="s">
        <v>149</v>
      </c>
      <c r="K28" s="3" t="s">
        <v>149</v>
      </c>
      <c r="L28" s="3" t="s">
        <v>30</v>
      </c>
      <c r="M28" s="11" t="b">
        <f aca="false">FALSE()</f>
        <v>0</v>
      </c>
      <c r="N28" s="3" t="s">
        <v>150</v>
      </c>
      <c r="O28" s="3" t="s">
        <v>42</v>
      </c>
      <c r="P28" s="11" t="b">
        <f aca="false">FALSE()</f>
        <v>0</v>
      </c>
      <c r="Q28" s="3" t="s">
        <v>151</v>
      </c>
      <c r="R28" s="6" t="s">
        <v>185</v>
      </c>
    </row>
    <row r="29" customFormat="false" ht="23.85" hidden="false" customHeight="false" outlineLevel="0" collapsed="false">
      <c r="A29" s="3" t="s">
        <v>144</v>
      </c>
      <c r="B29" s="3" t="n">
        <v>421</v>
      </c>
      <c r="C29" s="3" t="s">
        <v>59</v>
      </c>
      <c r="D29" s="3" t="n">
        <v>100531048</v>
      </c>
      <c r="E29" s="3" t="s">
        <v>183</v>
      </c>
      <c r="F29" s="3" t="s">
        <v>187</v>
      </c>
      <c r="G29" s="3" t="s">
        <v>147</v>
      </c>
      <c r="H29" s="3"/>
      <c r="I29" s="3" t="s">
        <v>148</v>
      </c>
      <c r="J29" s="3" t="s">
        <v>149</v>
      </c>
      <c r="K29" s="3" t="s">
        <v>149</v>
      </c>
      <c r="L29" s="3" t="s">
        <v>30</v>
      </c>
      <c r="M29" s="11" t="b">
        <f aca="false">FALSE()</f>
        <v>0</v>
      </c>
      <c r="N29" s="3" t="s">
        <v>150</v>
      </c>
      <c r="O29" s="3" t="s">
        <v>42</v>
      </c>
      <c r="P29" s="11" t="b">
        <f aca="false">FALSE()</f>
        <v>0</v>
      </c>
      <c r="Q29" s="3" t="s">
        <v>151</v>
      </c>
      <c r="R29" s="6" t="s">
        <v>185</v>
      </c>
    </row>
    <row r="30" customFormat="false" ht="35.05" hidden="false" customHeight="false" outlineLevel="0" collapsed="false">
      <c r="A30" s="3" t="s">
        <v>156</v>
      </c>
      <c r="B30" s="3" t="n">
        <v>86</v>
      </c>
      <c r="C30" s="3" t="s">
        <v>59</v>
      </c>
      <c r="D30" s="3" t="n">
        <v>100531048</v>
      </c>
      <c r="E30" s="3" t="s">
        <v>183</v>
      </c>
      <c r="F30" s="3" t="s">
        <v>188</v>
      </c>
      <c r="G30" s="3" t="s">
        <v>147</v>
      </c>
      <c r="H30" s="3"/>
      <c r="I30" s="3" t="s">
        <v>148</v>
      </c>
      <c r="J30" s="3" t="s">
        <v>158</v>
      </c>
      <c r="K30" s="3" t="s">
        <v>158</v>
      </c>
      <c r="L30" s="3" t="s">
        <v>30</v>
      </c>
      <c r="M30" s="11" t="b">
        <f aca="false">FALSE()</f>
        <v>0</v>
      </c>
      <c r="N30" s="3" t="s">
        <v>150</v>
      </c>
      <c r="O30" s="3" t="s">
        <v>42</v>
      </c>
      <c r="P30" s="11" t="b">
        <f aca="false">FALSE()</f>
        <v>0</v>
      </c>
      <c r="Q30" s="3" t="s">
        <v>151</v>
      </c>
      <c r="R30" s="6" t="s">
        <v>185</v>
      </c>
    </row>
    <row r="31" customFormat="false" ht="35.05" hidden="false" customHeight="false" outlineLevel="0" collapsed="false">
      <c r="A31" s="3" t="s">
        <v>156</v>
      </c>
      <c r="B31" s="3" t="n">
        <v>87</v>
      </c>
      <c r="C31" s="3" t="s">
        <v>59</v>
      </c>
      <c r="D31" s="3" t="n">
        <v>100531048</v>
      </c>
      <c r="E31" s="3" t="s">
        <v>183</v>
      </c>
      <c r="F31" s="3" t="s">
        <v>189</v>
      </c>
      <c r="G31" s="3" t="s">
        <v>147</v>
      </c>
      <c r="H31" s="3"/>
      <c r="I31" s="3" t="s">
        <v>148</v>
      </c>
      <c r="J31" s="3" t="s">
        <v>158</v>
      </c>
      <c r="K31" s="3" t="s">
        <v>158</v>
      </c>
      <c r="L31" s="3" t="s">
        <v>30</v>
      </c>
      <c r="M31" s="11" t="b">
        <f aca="false">FALSE()</f>
        <v>0</v>
      </c>
      <c r="N31" s="3" t="s">
        <v>150</v>
      </c>
      <c r="O31" s="3" t="s">
        <v>42</v>
      </c>
      <c r="P31" s="11" t="b">
        <f aca="false">FALSE()</f>
        <v>0</v>
      </c>
      <c r="Q31" s="3" t="s">
        <v>151</v>
      </c>
      <c r="R31" s="6" t="s">
        <v>185</v>
      </c>
    </row>
    <row r="32" customFormat="false" ht="35.05" hidden="false" customHeight="false" outlineLevel="0" collapsed="false">
      <c r="A32" s="3" t="s">
        <v>156</v>
      </c>
      <c r="B32" s="3" t="n">
        <v>88</v>
      </c>
      <c r="C32" s="3" t="s">
        <v>59</v>
      </c>
      <c r="D32" s="3" t="n">
        <v>100531048</v>
      </c>
      <c r="E32" s="3" t="s">
        <v>183</v>
      </c>
      <c r="F32" s="3" t="s">
        <v>190</v>
      </c>
      <c r="G32" s="3" t="s">
        <v>147</v>
      </c>
      <c r="H32" s="3"/>
      <c r="I32" s="3" t="s">
        <v>148</v>
      </c>
      <c r="J32" s="3" t="s">
        <v>158</v>
      </c>
      <c r="K32" s="3" t="s">
        <v>158</v>
      </c>
      <c r="L32" s="3" t="s">
        <v>30</v>
      </c>
      <c r="M32" s="11" t="b">
        <f aca="false">FALSE()</f>
        <v>0</v>
      </c>
      <c r="N32" s="3" t="s">
        <v>150</v>
      </c>
      <c r="O32" s="3" t="s">
        <v>42</v>
      </c>
      <c r="P32" s="11" t="b">
        <f aca="false">FALSE()</f>
        <v>0</v>
      </c>
      <c r="Q32" s="3" t="s">
        <v>151</v>
      </c>
      <c r="R32" s="6" t="s">
        <v>185</v>
      </c>
    </row>
    <row r="33" customFormat="false" ht="23.85" hidden="false" customHeight="false" outlineLevel="0" collapsed="false">
      <c r="A33" s="3" t="s">
        <v>144</v>
      </c>
      <c r="B33" s="3" t="n">
        <v>422</v>
      </c>
      <c r="C33" s="3" t="s">
        <v>76</v>
      </c>
      <c r="D33" s="3" t="n">
        <v>100531049</v>
      </c>
      <c r="E33" s="3" t="s">
        <v>191</v>
      </c>
      <c r="F33" s="3" t="s">
        <v>192</v>
      </c>
      <c r="G33" s="3" t="s">
        <v>147</v>
      </c>
      <c r="H33" s="3"/>
      <c r="I33" s="3" t="s">
        <v>148</v>
      </c>
      <c r="J33" s="3" t="s">
        <v>149</v>
      </c>
      <c r="K33" s="3" t="s">
        <v>149</v>
      </c>
      <c r="L33" s="3" t="s">
        <v>30</v>
      </c>
      <c r="M33" s="11" t="b">
        <f aca="false">FALSE()</f>
        <v>0</v>
      </c>
      <c r="N33" s="3" t="s">
        <v>150</v>
      </c>
      <c r="O33" s="3" t="s">
        <v>42</v>
      </c>
      <c r="P33" s="11" t="b">
        <f aca="false">TRUE()</f>
        <v>1</v>
      </c>
      <c r="Q33" s="3" t="s">
        <v>151</v>
      </c>
      <c r="R33" s="6" t="s">
        <v>152</v>
      </c>
    </row>
    <row r="34" customFormat="false" ht="35.05" hidden="false" customHeight="false" outlineLevel="0" collapsed="false">
      <c r="A34" s="3" t="s">
        <v>144</v>
      </c>
      <c r="B34" s="3" t="n">
        <v>423</v>
      </c>
      <c r="C34" s="3" t="s">
        <v>76</v>
      </c>
      <c r="D34" s="3" t="n">
        <v>100531049</v>
      </c>
      <c r="E34" s="3" t="s">
        <v>191</v>
      </c>
      <c r="F34" s="3" t="s">
        <v>193</v>
      </c>
      <c r="G34" s="3" t="s">
        <v>147</v>
      </c>
      <c r="H34" s="3"/>
      <c r="I34" s="3" t="s">
        <v>148</v>
      </c>
      <c r="J34" s="3" t="s">
        <v>149</v>
      </c>
      <c r="K34" s="3" t="s">
        <v>149</v>
      </c>
      <c r="L34" s="3" t="s">
        <v>30</v>
      </c>
      <c r="M34" s="11" t="b">
        <f aca="false">FALSE()</f>
        <v>0</v>
      </c>
      <c r="N34" s="3" t="s">
        <v>150</v>
      </c>
      <c r="O34" s="3" t="s">
        <v>42</v>
      </c>
      <c r="P34" s="11" t="b">
        <f aca="false">TRUE()</f>
        <v>1</v>
      </c>
      <c r="Q34" s="3" t="s">
        <v>151</v>
      </c>
      <c r="R34" s="6" t="s">
        <v>152</v>
      </c>
    </row>
    <row r="35" customFormat="false" ht="23.85" hidden="false" customHeight="false" outlineLevel="0" collapsed="false">
      <c r="A35" s="3" t="s">
        <v>144</v>
      </c>
      <c r="B35" s="3" t="n">
        <v>424</v>
      </c>
      <c r="C35" s="3" t="s">
        <v>76</v>
      </c>
      <c r="D35" s="3" t="n">
        <v>100531049</v>
      </c>
      <c r="E35" s="3" t="s">
        <v>191</v>
      </c>
      <c r="F35" s="3" t="s">
        <v>194</v>
      </c>
      <c r="G35" s="3" t="s">
        <v>147</v>
      </c>
      <c r="H35" s="3"/>
      <c r="I35" s="3" t="s">
        <v>148</v>
      </c>
      <c r="J35" s="3" t="s">
        <v>149</v>
      </c>
      <c r="K35" s="3" t="s">
        <v>149</v>
      </c>
      <c r="L35" s="3" t="s">
        <v>30</v>
      </c>
      <c r="M35" s="11" t="b">
        <f aca="false">FALSE()</f>
        <v>0</v>
      </c>
      <c r="N35" s="3" t="s">
        <v>150</v>
      </c>
      <c r="O35" s="3" t="s">
        <v>42</v>
      </c>
      <c r="P35" s="11" t="b">
        <f aca="false">TRUE()</f>
        <v>1</v>
      </c>
      <c r="Q35" s="3" t="s">
        <v>151</v>
      </c>
      <c r="R35" s="6" t="s">
        <v>152</v>
      </c>
    </row>
    <row r="36" customFormat="false" ht="35.05" hidden="false" customHeight="false" outlineLevel="0" collapsed="false">
      <c r="A36" s="3" t="s">
        <v>156</v>
      </c>
      <c r="B36" s="3" t="n">
        <v>89</v>
      </c>
      <c r="C36" s="3" t="s">
        <v>76</v>
      </c>
      <c r="D36" s="3" t="n">
        <v>100531049</v>
      </c>
      <c r="E36" s="3" t="s">
        <v>191</v>
      </c>
      <c r="F36" s="3" t="s">
        <v>195</v>
      </c>
      <c r="G36" s="3" t="s">
        <v>147</v>
      </c>
      <c r="H36" s="3"/>
      <c r="I36" s="3" t="s">
        <v>148</v>
      </c>
      <c r="J36" s="3" t="s">
        <v>158</v>
      </c>
      <c r="K36" s="3" t="s">
        <v>158</v>
      </c>
      <c r="L36" s="3" t="s">
        <v>30</v>
      </c>
      <c r="M36" s="11" t="b">
        <f aca="false">FALSE()</f>
        <v>0</v>
      </c>
      <c r="N36" s="3" t="s">
        <v>150</v>
      </c>
      <c r="O36" s="3" t="s">
        <v>42</v>
      </c>
      <c r="P36" s="11" t="b">
        <f aca="false">TRUE()</f>
        <v>1</v>
      </c>
      <c r="Q36" s="3" t="s">
        <v>151</v>
      </c>
      <c r="R36" s="6" t="s">
        <v>152</v>
      </c>
    </row>
    <row r="37" customFormat="false" ht="35.05" hidden="false" customHeight="false" outlineLevel="0" collapsed="false">
      <c r="A37" s="3" t="s">
        <v>156</v>
      </c>
      <c r="B37" s="3" t="n">
        <v>90</v>
      </c>
      <c r="C37" s="3" t="s">
        <v>76</v>
      </c>
      <c r="D37" s="3" t="n">
        <v>100531049</v>
      </c>
      <c r="E37" s="3" t="s">
        <v>191</v>
      </c>
      <c r="F37" s="3" t="s">
        <v>196</v>
      </c>
      <c r="G37" s="3" t="s">
        <v>147</v>
      </c>
      <c r="H37" s="3"/>
      <c r="I37" s="3" t="s">
        <v>148</v>
      </c>
      <c r="J37" s="3" t="s">
        <v>158</v>
      </c>
      <c r="K37" s="3" t="s">
        <v>158</v>
      </c>
      <c r="L37" s="3" t="s">
        <v>30</v>
      </c>
      <c r="M37" s="11" t="b">
        <f aca="false">FALSE()</f>
        <v>0</v>
      </c>
      <c r="N37" s="3" t="s">
        <v>150</v>
      </c>
      <c r="O37" s="3" t="s">
        <v>42</v>
      </c>
      <c r="P37" s="11" t="b">
        <f aca="false">TRUE()</f>
        <v>1</v>
      </c>
      <c r="Q37" s="3" t="s">
        <v>151</v>
      </c>
      <c r="R37" s="6" t="s">
        <v>152</v>
      </c>
    </row>
    <row r="38" customFormat="false" ht="35.05" hidden="false" customHeight="false" outlineLevel="0" collapsed="false">
      <c r="A38" s="3" t="s">
        <v>156</v>
      </c>
      <c r="B38" s="3" t="n">
        <v>91</v>
      </c>
      <c r="C38" s="3" t="s">
        <v>76</v>
      </c>
      <c r="D38" s="3" t="n">
        <v>100531049</v>
      </c>
      <c r="E38" s="3" t="s">
        <v>191</v>
      </c>
      <c r="F38" s="3" t="s">
        <v>197</v>
      </c>
      <c r="G38" s="3" t="s">
        <v>147</v>
      </c>
      <c r="H38" s="3"/>
      <c r="I38" s="3" t="s">
        <v>148</v>
      </c>
      <c r="J38" s="3" t="s">
        <v>158</v>
      </c>
      <c r="K38" s="3" t="s">
        <v>158</v>
      </c>
      <c r="L38" s="3" t="s">
        <v>30</v>
      </c>
      <c r="M38" s="11" t="b">
        <f aca="false">FALSE()</f>
        <v>0</v>
      </c>
      <c r="N38" s="3" t="s">
        <v>150</v>
      </c>
      <c r="O38" s="3" t="s">
        <v>42</v>
      </c>
      <c r="P38" s="11" t="b">
        <f aca="false">TRUE()</f>
        <v>1</v>
      </c>
      <c r="Q38" s="3" t="s">
        <v>151</v>
      </c>
      <c r="R38" s="6" t="s">
        <v>152</v>
      </c>
    </row>
    <row r="39" customFormat="false" ht="23.85" hidden="false" customHeight="false" outlineLevel="0" collapsed="false">
      <c r="A39" s="3" t="s">
        <v>144</v>
      </c>
      <c r="B39" s="3" t="n">
        <v>425</v>
      </c>
      <c r="C39" s="3" t="s">
        <v>85</v>
      </c>
      <c r="D39" s="3" t="n">
        <v>100531050</v>
      </c>
      <c r="E39" s="3" t="s">
        <v>198</v>
      </c>
      <c r="F39" s="3" t="s">
        <v>199</v>
      </c>
      <c r="G39" s="3" t="s">
        <v>147</v>
      </c>
      <c r="H39" s="3"/>
      <c r="I39" s="3" t="s">
        <v>148</v>
      </c>
      <c r="J39" s="3" t="s">
        <v>149</v>
      </c>
      <c r="K39" s="3" t="s">
        <v>149</v>
      </c>
      <c r="L39" s="3" t="s">
        <v>30</v>
      </c>
      <c r="M39" s="11" t="b">
        <f aca="false">FALSE()</f>
        <v>0</v>
      </c>
      <c r="N39" s="3" t="s">
        <v>150</v>
      </c>
      <c r="O39" s="3" t="s">
        <v>42</v>
      </c>
      <c r="P39" s="11" t="b">
        <f aca="false">TRUE()</f>
        <v>1</v>
      </c>
      <c r="Q39" s="3" t="s">
        <v>151</v>
      </c>
      <c r="R39" s="6" t="s">
        <v>152</v>
      </c>
    </row>
    <row r="40" customFormat="false" ht="23.85" hidden="false" customHeight="false" outlineLevel="0" collapsed="false">
      <c r="A40" s="3" t="s">
        <v>144</v>
      </c>
      <c r="B40" s="3" t="n">
        <v>426</v>
      </c>
      <c r="C40" s="3" t="s">
        <v>85</v>
      </c>
      <c r="D40" s="3" t="n">
        <v>100531050</v>
      </c>
      <c r="E40" s="3" t="s">
        <v>198</v>
      </c>
      <c r="F40" s="3" t="s">
        <v>200</v>
      </c>
      <c r="G40" s="3" t="s">
        <v>147</v>
      </c>
      <c r="H40" s="3"/>
      <c r="I40" s="3" t="s">
        <v>148</v>
      </c>
      <c r="J40" s="3" t="s">
        <v>149</v>
      </c>
      <c r="K40" s="3" t="s">
        <v>149</v>
      </c>
      <c r="L40" s="3" t="s">
        <v>30</v>
      </c>
      <c r="M40" s="11" t="b">
        <f aca="false">FALSE()</f>
        <v>0</v>
      </c>
      <c r="N40" s="3" t="s">
        <v>150</v>
      </c>
      <c r="O40" s="3" t="s">
        <v>42</v>
      </c>
      <c r="P40" s="11" t="b">
        <f aca="false">TRUE()</f>
        <v>1</v>
      </c>
      <c r="Q40" s="3" t="s">
        <v>151</v>
      </c>
      <c r="R40" s="6" t="s">
        <v>152</v>
      </c>
    </row>
    <row r="41" customFormat="false" ht="23.85" hidden="false" customHeight="false" outlineLevel="0" collapsed="false">
      <c r="A41" s="3" t="s">
        <v>144</v>
      </c>
      <c r="B41" s="3" t="n">
        <v>427</v>
      </c>
      <c r="C41" s="3" t="s">
        <v>85</v>
      </c>
      <c r="D41" s="3" t="n">
        <v>100531050</v>
      </c>
      <c r="E41" s="3" t="s">
        <v>198</v>
      </c>
      <c r="F41" s="3" t="s">
        <v>201</v>
      </c>
      <c r="G41" s="3" t="s">
        <v>147</v>
      </c>
      <c r="H41" s="3"/>
      <c r="I41" s="3" t="s">
        <v>148</v>
      </c>
      <c r="J41" s="3" t="s">
        <v>149</v>
      </c>
      <c r="K41" s="3" t="s">
        <v>149</v>
      </c>
      <c r="L41" s="3" t="s">
        <v>30</v>
      </c>
      <c r="M41" s="11" t="b">
        <f aca="false">FALSE()</f>
        <v>0</v>
      </c>
      <c r="N41" s="3" t="s">
        <v>150</v>
      </c>
      <c r="O41" s="3" t="s">
        <v>42</v>
      </c>
      <c r="P41" s="11" t="b">
        <f aca="false">TRUE()</f>
        <v>1</v>
      </c>
      <c r="Q41" s="3" t="s">
        <v>151</v>
      </c>
      <c r="R41" s="6" t="s">
        <v>152</v>
      </c>
    </row>
    <row r="42" customFormat="false" ht="35.05" hidden="false" customHeight="false" outlineLevel="0" collapsed="false">
      <c r="A42" s="3" t="s">
        <v>156</v>
      </c>
      <c r="B42" s="3" t="n">
        <v>92</v>
      </c>
      <c r="C42" s="3" t="s">
        <v>85</v>
      </c>
      <c r="D42" s="3" t="n">
        <v>100531050</v>
      </c>
      <c r="E42" s="3" t="s">
        <v>198</v>
      </c>
      <c r="F42" s="3" t="s">
        <v>202</v>
      </c>
      <c r="G42" s="3" t="s">
        <v>147</v>
      </c>
      <c r="H42" s="3"/>
      <c r="I42" s="3" t="s">
        <v>148</v>
      </c>
      <c r="J42" s="3" t="s">
        <v>158</v>
      </c>
      <c r="K42" s="3" t="s">
        <v>158</v>
      </c>
      <c r="L42" s="3" t="s">
        <v>30</v>
      </c>
      <c r="M42" s="11" t="b">
        <f aca="false">FALSE()</f>
        <v>0</v>
      </c>
      <c r="N42" s="3" t="s">
        <v>150</v>
      </c>
      <c r="O42" s="3" t="s">
        <v>42</v>
      </c>
      <c r="P42" s="11" t="b">
        <f aca="false">TRUE()</f>
        <v>1</v>
      </c>
      <c r="Q42" s="3" t="s">
        <v>151</v>
      </c>
      <c r="R42" s="6" t="s">
        <v>152</v>
      </c>
    </row>
    <row r="43" customFormat="false" ht="35.05" hidden="false" customHeight="false" outlineLevel="0" collapsed="false">
      <c r="A43" s="3" t="s">
        <v>156</v>
      </c>
      <c r="B43" s="3" t="n">
        <v>93</v>
      </c>
      <c r="C43" s="3" t="s">
        <v>85</v>
      </c>
      <c r="D43" s="3" t="n">
        <v>100531050</v>
      </c>
      <c r="E43" s="3" t="s">
        <v>198</v>
      </c>
      <c r="F43" s="3" t="s">
        <v>203</v>
      </c>
      <c r="G43" s="3" t="s">
        <v>147</v>
      </c>
      <c r="H43" s="3"/>
      <c r="I43" s="3" t="s">
        <v>148</v>
      </c>
      <c r="J43" s="3" t="s">
        <v>158</v>
      </c>
      <c r="K43" s="3" t="s">
        <v>158</v>
      </c>
      <c r="L43" s="3" t="s">
        <v>30</v>
      </c>
      <c r="M43" s="11" t="b">
        <f aca="false">FALSE()</f>
        <v>0</v>
      </c>
      <c r="N43" s="3" t="s">
        <v>150</v>
      </c>
      <c r="O43" s="3" t="s">
        <v>42</v>
      </c>
      <c r="P43" s="11" t="b">
        <f aca="false">TRUE()</f>
        <v>1</v>
      </c>
      <c r="Q43" s="3" t="s">
        <v>151</v>
      </c>
      <c r="R43" s="6" t="s">
        <v>152</v>
      </c>
    </row>
    <row r="44" customFormat="false" ht="35.05" hidden="false" customHeight="false" outlineLevel="0" collapsed="false">
      <c r="A44" s="3" t="s">
        <v>156</v>
      </c>
      <c r="B44" s="3" t="n">
        <v>94</v>
      </c>
      <c r="C44" s="3" t="s">
        <v>85</v>
      </c>
      <c r="D44" s="3" t="n">
        <v>100531050</v>
      </c>
      <c r="E44" s="3" t="s">
        <v>198</v>
      </c>
      <c r="F44" s="3" t="s">
        <v>204</v>
      </c>
      <c r="G44" s="3" t="s">
        <v>147</v>
      </c>
      <c r="H44" s="3"/>
      <c r="I44" s="3" t="s">
        <v>148</v>
      </c>
      <c r="J44" s="3" t="s">
        <v>158</v>
      </c>
      <c r="K44" s="3" t="s">
        <v>158</v>
      </c>
      <c r="L44" s="3" t="s">
        <v>30</v>
      </c>
      <c r="M44" s="11" t="b">
        <f aca="false">FALSE()</f>
        <v>0</v>
      </c>
      <c r="N44" s="3" t="s">
        <v>150</v>
      </c>
      <c r="O44" s="3" t="s">
        <v>42</v>
      </c>
      <c r="P44" s="11" t="b">
        <f aca="false">TRUE()</f>
        <v>1</v>
      </c>
      <c r="Q44" s="3" t="s">
        <v>151</v>
      </c>
      <c r="R44" s="6" t="s">
        <v>152</v>
      </c>
    </row>
    <row r="45" customFormat="false" ht="23.85" hidden="false" customHeight="false" outlineLevel="0" collapsed="false">
      <c r="A45" s="3" t="s">
        <v>144</v>
      </c>
      <c r="B45" s="3" t="n">
        <v>428</v>
      </c>
      <c r="C45" s="3" t="s">
        <v>92</v>
      </c>
      <c r="D45" s="3" t="n">
        <v>100531051</v>
      </c>
      <c r="E45" s="3" t="s">
        <v>205</v>
      </c>
      <c r="F45" s="3" t="s">
        <v>206</v>
      </c>
      <c r="G45" s="3" t="s">
        <v>147</v>
      </c>
      <c r="H45" s="3"/>
      <c r="I45" s="3" t="s">
        <v>148</v>
      </c>
      <c r="J45" s="3" t="s">
        <v>149</v>
      </c>
      <c r="K45" s="3" t="s">
        <v>149</v>
      </c>
      <c r="L45" s="3" t="s">
        <v>30</v>
      </c>
      <c r="M45" s="11" t="b">
        <f aca="false">FALSE()</f>
        <v>0</v>
      </c>
      <c r="N45" s="3" t="s">
        <v>150</v>
      </c>
      <c r="O45" s="3" t="s">
        <v>42</v>
      </c>
      <c r="P45" s="11" t="b">
        <f aca="false">TRUE()</f>
        <v>1</v>
      </c>
      <c r="Q45" s="3" t="s">
        <v>151</v>
      </c>
      <c r="R45" s="6" t="s">
        <v>152</v>
      </c>
    </row>
    <row r="46" customFormat="false" ht="23.85" hidden="false" customHeight="false" outlineLevel="0" collapsed="false">
      <c r="A46" s="3" t="s">
        <v>144</v>
      </c>
      <c r="B46" s="3" t="n">
        <v>429</v>
      </c>
      <c r="C46" s="3" t="s">
        <v>92</v>
      </c>
      <c r="D46" s="3" t="n">
        <v>100531051</v>
      </c>
      <c r="E46" s="3" t="s">
        <v>205</v>
      </c>
      <c r="F46" s="3" t="s">
        <v>207</v>
      </c>
      <c r="G46" s="3" t="s">
        <v>147</v>
      </c>
      <c r="H46" s="3"/>
      <c r="I46" s="3" t="s">
        <v>148</v>
      </c>
      <c r="J46" s="3" t="s">
        <v>149</v>
      </c>
      <c r="K46" s="3" t="s">
        <v>149</v>
      </c>
      <c r="L46" s="3" t="s">
        <v>30</v>
      </c>
      <c r="M46" s="11" t="b">
        <f aca="false">FALSE()</f>
        <v>0</v>
      </c>
      <c r="N46" s="3" t="s">
        <v>150</v>
      </c>
      <c r="O46" s="3" t="s">
        <v>42</v>
      </c>
      <c r="P46" s="11" t="b">
        <f aca="false">TRUE()</f>
        <v>1</v>
      </c>
      <c r="Q46" s="3" t="s">
        <v>151</v>
      </c>
      <c r="R46" s="6" t="s">
        <v>152</v>
      </c>
    </row>
    <row r="47" customFormat="false" ht="23.85" hidden="false" customHeight="false" outlineLevel="0" collapsed="false">
      <c r="A47" s="3" t="s">
        <v>144</v>
      </c>
      <c r="B47" s="3" t="n">
        <v>430</v>
      </c>
      <c r="C47" s="3" t="s">
        <v>92</v>
      </c>
      <c r="D47" s="3" t="n">
        <v>100531051</v>
      </c>
      <c r="E47" s="3" t="s">
        <v>205</v>
      </c>
      <c r="F47" s="3" t="s">
        <v>208</v>
      </c>
      <c r="G47" s="3" t="s">
        <v>147</v>
      </c>
      <c r="H47" s="3"/>
      <c r="I47" s="3" t="s">
        <v>148</v>
      </c>
      <c r="J47" s="3" t="s">
        <v>149</v>
      </c>
      <c r="K47" s="3" t="s">
        <v>149</v>
      </c>
      <c r="L47" s="3" t="s">
        <v>30</v>
      </c>
      <c r="M47" s="11" t="b">
        <f aca="false">FALSE()</f>
        <v>0</v>
      </c>
      <c r="N47" s="3" t="s">
        <v>150</v>
      </c>
      <c r="O47" s="3" t="s">
        <v>42</v>
      </c>
      <c r="P47" s="11" t="b">
        <f aca="false">TRUE()</f>
        <v>1</v>
      </c>
      <c r="Q47" s="3" t="s">
        <v>151</v>
      </c>
      <c r="R47" s="6" t="s">
        <v>152</v>
      </c>
    </row>
    <row r="48" customFormat="false" ht="35.05" hidden="false" customHeight="false" outlineLevel="0" collapsed="false">
      <c r="A48" s="3" t="s">
        <v>156</v>
      </c>
      <c r="B48" s="3" t="n">
        <v>95</v>
      </c>
      <c r="C48" s="3" t="s">
        <v>92</v>
      </c>
      <c r="D48" s="3" t="n">
        <v>100531051</v>
      </c>
      <c r="E48" s="3" t="s">
        <v>205</v>
      </c>
      <c r="F48" s="3" t="s">
        <v>209</v>
      </c>
      <c r="G48" s="3" t="s">
        <v>147</v>
      </c>
      <c r="H48" s="3"/>
      <c r="I48" s="3" t="s">
        <v>148</v>
      </c>
      <c r="J48" s="3" t="s">
        <v>158</v>
      </c>
      <c r="K48" s="3" t="s">
        <v>158</v>
      </c>
      <c r="L48" s="3" t="s">
        <v>30</v>
      </c>
      <c r="M48" s="11" t="b">
        <f aca="false">FALSE()</f>
        <v>0</v>
      </c>
      <c r="N48" s="3" t="s">
        <v>150</v>
      </c>
      <c r="O48" s="3" t="s">
        <v>42</v>
      </c>
      <c r="P48" s="11" t="b">
        <f aca="false">TRUE()</f>
        <v>1</v>
      </c>
      <c r="Q48" s="3" t="s">
        <v>151</v>
      </c>
      <c r="R48" s="6" t="s">
        <v>152</v>
      </c>
    </row>
    <row r="49" customFormat="false" ht="35.05" hidden="false" customHeight="false" outlineLevel="0" collapsed="false">
      <c r="A49" s="3" t="s">
        <v>156</v>
      </c>
      <c r="B49" s="3" t="n">
        <v>96</v>
      </c>
      <c r="C49" s="3" t="s">
        <v>92</v>
      </c>
      <c r="D49" s="3" t="n">
        <v>100531051</v>
      </c>
      <c r="E49" s="3" t="s">
        <v>205</v>
      </c>
      <c r="F49" s="3" t="s">
        <v>210</v>
      </c>
      <c r="G49" s="3" t="s">
        <v>147</v>
      </c>
      <c r="H49" s="3"/>
      <c r="I49" s="3" t="s">
        <v>148</v>
      </c>
      <c r="J49" s="3" t="s">
        <v>158</v>
      </c>
      <c r="K49" s="3" t="s">
        <v>158</v>
      </c>
      <c r="L49" s="3" t="s">
        <v>30</v>
      </c>
      <c r="M49" s="11" t="b">
        <f aca="false">FALSE()</f>
        <v>0</v>
      </c>
      <c r="N49" s="3" t="s">
        <v>150</v>
      </c>
      <c r="O49" s="3" t="s">
        <v>42</v>
      </c>
      <c r="P49" s="11" t="b">
        <f aca="false">TRUE()</f>
        <v>1</v>
      </c>
      <c r="Q49" s="3" t="s">
        <v>151</v>
      </c>
      <c r="R49" s="6" t="s">
        <v>152</v>
      </c>
    </row>
    <row r="50" customFormat="false" ht="35.05" hidden="false" customHeight="false" outlineLevel="0" collapsed="false">
      <c r="A50" s="3" t="s">
        <v>156</v>
      </c>
      <c r="B50" s="3" t="n">
        <v>97</v>
      </c>
      <c r="C50" s="3" t="s">
        <v>92</v>
      </c>
      <c r="D50" s="3" t="n">
        <v>100531051</v>
      </c>
      <c r="E50" s="3" t="s">
        <v>205</v>
      </c>
      <c r="F50" s="3" t="s">
        <v>211</v>
      </c>
      <c r="G50" s="3" t="s">
        <v>147</v>
      </c>
      <c r="H50" s="3"/>
      <c r="I50" s="3" t="s">
        <v>148</v>
      </c>
      <c r="J50" s="3" t="s">
        <v>158</v>
      </c>
      <c r="K50" s="3" t="s">
        <v>158</v>
      </c>
      <c r="L50" s="3" t="s">
        <v>30</v>
      </c>
      <c r="M50" s="11" t="b">
        <f aca="false">FALSE()</f>
        <v>0</v>
      </c>
      <c r="N50" s="3" t="s">
        <v>150</v>
      </c>
      <c r="O50" s="3" t="s">
        <v>42</v>
      </c>
      <c r="P50" s="11" t="b">
        <f aca="false">TRUE()</f>
        <v>1</v>
      </c>
      <c r="Q50" s="3" t="s">
        <v>151</v>
      </c>
      <c r="R50" s="6" t="s">
        <v>152</v>
      </c>
    </row>
    <row r="51" customFormat="false" ht="23.85" hidden="false" customHeight="false" outlineLevel="0" collapsed="false">
      <c r="A51" s="3" t="s">
        <v>144</v>
      </c>
      <c r="B51" s="3" t="n">
        <v>437</v>
      </c>
      <c r="C51" s="3" t="s">
        <v>99</v>
      </c>
      <c r="D51" s="3" t="n">
        <v>100592069</v>
      </c>
      <c r="E51" s="3" t="s">
        <v>212</v>
      </c>
      <c r="F51" s="3" t="s">
        <v>213</v>
      </c>
      <c r="G51" s="3" t="s">
        <v>147</v>
      </c>
      <c r="H51" s="3"/>
      <c r="I51" s="3" t="s">
        <v>148</v>
      </c>
      <c r="J51" s="3" t="s">
        <v>149</v>
      </c>
      <c r="K51" s="3" t="s">
        <v>149</v>
      </c>
      <c r="L51" s="3" t="s">
        <v>30</v>
      </c>
      <c r="M51" s="11" t="b">
        <f aca="false">FALSE()</f>
        <v>0</v>
      </c>
      <c r="N51" s="3" t="s">
        <v>150</v>
      </c>
      <c r="O51" s="3" t="s">
        <v>42</v>
      </c>
      <c r="P51" s="11" t="b">
        <f aca="false">TRUE()</f>
        <v>1</v>
      </c>
      <c r="Q51" s="3" t="s">
        <v>151</v>
      </c>
      <c r="R51" s="6" t="s">
        <v>152</v>
      </c>
    </row>
    <row r="52" customFormat="false" ht="23.85" hidden="false" customHeight="false" outlineLevel="0" collapsed="false">
      <c r="A52" s="3" t="s">
        <v>144</v>
      </c>
      <c r="B52" s="3" t="n">
        <v>438</v>
      </c>
      <c r="C52" s="3" t="s">
        <v>99</v>
      </c>
      <c r="D52" s="3" t="n">
        <v>100592069</v>
      </c>
      <c r="E52" s="3" t="s">
        <v>212</v>
      </c>
      <c r="F52" s="3" t="s">
        <v>214</v>
      </c>
      <c r="G52" s="3" t="s">
        <v>147</v>
      </c>
      <c r="H52" s="3"/>
      <c r="I52" s="3" t="s">
        <v>148</v>
      </c>
      <c r="J52" s="3" t="s">
        <v>149</v>
      </c>
      <c r="K52" s="3" t="s">
        <v>149</v>
      </c>
      <c r="L52" s="3" t="s">
        <v>30</v>
      </c>
      <c r="M52" s="11" t="b">
        <f aca="false">FALSE()</f>
        <v>0</v>
      </c>
      <c r="N52" s="3" t="s">
        <v>150</v>
      </c>
      <c r="O52" s="3" t="s">
        <v>42</v>
      </c>
      <c r="P52" s="11" t="b">
        <f aca="false">TRUE()</f>
        <v>1</v>
      </c>
      <c r="Q52" s="3" t="s">
        <v>151</v>
      </c>
      <c r="R52" s="6" t="s">
        <v>152</v>
      </c>
    </row>
    <row r="53" customFormat="false" ht="23.85" hidden="false" customHeight="false" outlineLevel="0" collapsed="false">
      <c r="A53" s="3" t="s">
        <v>144</v>
      </c>
      <c r="B53" s="3" t="n">
        <v>439</v>
      </c>
      <c r="C53" s="3" t="s">
        <v>99</v>
      </c>
      <c r="D53" s="3" t="n">
        <v>100592069</v>
      </c>
      <c r="E53" s="3" t="s">
        <v>212</v>
      </c>
      <c r="F53" s="3" t="s">
        <v>215</v>
      </c>
      <c r="G53" s="3" t="s">
        <v>147</v>
      </c>
      <c r="H53" s="3"/>
      <c r="I53" s="3" t="s">
        <v>148</v>
      </c>
      <c r="J53" s="3" t="s">
        <v>149</v>
      </c>
      <c r="K53" s="3" t="s">
        <v>149</v>
      </c>
      <c r="L53" s="3" t="s">
        <v>30</v>
      </c>
      <c r="M53" s="11" t="b">
        <f aca="false">FALSE()</f>
        <v>0</v>
      </c>
      <c r="N53" s="3" t="s">
        <v>150</v>
      </c>
      <c r="O53" s="3" t="s">
        <v>42</v>
      </c>
      <c r="P53" s="11" t="b">
        <f aca="false">TRUE()</f>
        <v>1</v>
      </c>
      <c r="Q53" s="3" t="s">
        <v>151</v>
      </c>
      <c r="R53" s="6" t="s">
        <v>152</v>
      </c>
    </row>
    <row r="54" customFormat="false" ht="35.05" hidden="false" customHeight="false" outlineLevel="0" collapsed="false">
      <c r="A54" s="3" t="s">
        <v>156</v>
      </c>
      <c r="B54" s="3" t="n">
        <v>104</v>
      </c>
      <c r="C54" s="3" t="s">
        <v>99</v>
      </c>
      <c r="D54" s="3" t="n">
        <v>100592069</v>
      </c>
      <c r="E54" s="3" t="s">
        <v>212</v>
      </c>
      <c r="F54" s="3" t="s">
        <v>216</v>
      </c>
      <c r="G54" s="3" t="s">
        <v>147</v>
      </c>
      <c r="H54" s="3"/>
      <c r="I54" s="3" t="s">
        <v>148</v>
      </c>
      <c r="J54" s="3" t="s">
        <v>158</v>
      </c>
      <c r="K54" s="3" t="s">
        <v>158</v>
      </c>
      <c r="L54" s="3" t="s">
        <v>30</v>
      </c>
      <c r="M54" s="11" t="b">
        <f aca="false">FALSE()</f>
        <v>0</v>
      </c>
      <c r="N54" s="3" t="s">
        <v>150</v>
      </c>
      <c r="O54" s="3" t="s">
        <v>42</v>
      </c>
      <c r="P54" s="11" t="b">
        <f aca="false">TRUE()</f>
        <v>1</v>
      </c>
      <c r="Q54" s="3" t="s">
        <v>151</v>
      </c>
      <c r="R54" s="6" t="s">
        <v>152</v>
      </c>
    </row>
    <row r="55" customFormat="false" ht="35.05" hidden="false" customHeight="false" outlineLevel="0" collapsed="false">
      <c r="A55" s="3" t="s">
        <v>156</v>
      </c>
      <c r="B55" s="3" t="n">
        <v>105</v>
      </c>
      <c r="C55" s="3" t="s">
        <v>99</v>
      </c>
      <c r="D55" s="3" t="n">
        <v>100592069</v>
      </c>
      <c r="E55" s="3" t="s">
        <v>212</v>
      </c>
      <c r="F55" s="3" t="s">
        <v>217</v>
      </c>
      <c r="G55" s="3" t="s">
        <v>147</v>
      </c>
      <c r="H55" s="3"/>
      <c r="I55" s="3" t="s">
        <v>148</v>
      </c>
      <c r="J55" s="3" t="s">
        <v>158</v>
      </c>
      <c r="K55" s="3" t="s">
        <v>158</v>
      </c>
      <c r="L55" s="3" t="s">
        <v>30</v>
      </c>
      <c r="M55" s="11" t="b">
        <f aca="false">FALSE()</f>
        <v>0</v>
      </c>
      <c r="N55" s="3" t="s">
        <v>150</v>
      </c>
      <c r="O55" s="3" t="s">
        <v>42</v>
      </c>
      <c r="P55" s="11" t="b">
        <f aca="false">TRUE()</f>
        <v>1</v>
      </c>
      <c r="Q55" s="3" t="s">
        <v>151</v>
      </c>
      <c r="R55" s="6" t="s">
        <v>152</v>
      </c>
    </row>
    <row r="56" customFormat="false" ht="35.05" hidden="false" customHeight="false" outlineLevel="0" collapsed="false">
      <c r="A56" s="3" t="s">
        <v>156</v>
      </c>
      <c r="B56" s="3" t="n">
        <v>106</v>
      </c>
      <c r="C56" s="3" t="s">
        <v>99</v>
      </c>
      <c r="D56" s="3" t="n">
        <v>100592069</v>
      </c>
      <c r="E56" s="3" t="s">
        <v>212</v>
      </c>
      <c r="F56" s="3" t="s">
        <v>218</v>
      </c>
      <c r="G56" s="3" t="s">
        <v>147</v>
      </c>
      <c r="H56" s="3"/>
      <c r="I56" s="3" t="s">
        <v>148</v>
      </c>
      <c r="J56" s="3" t="s">
        <v>158</v>
      </c>
      <c r="K56" s="3" t="s">
        <v>158</v>
      </c>
      <c r="L56" s="3" t="s">
        <v>30</v>
      </c>
      <c r="M56" s="11" t="b">
        <f aca="false">FALSE()</f>
        <v>0</v>
      </c>
      <c r="N56" s="3" t="s">
        <v>150</v>
      </c>
      <c r="O56" s="3" t="s">
        <v>42</v>
      </c>
      <c r="P56" s="11" t="b">
        <f aca="false">TRUE()</f>
        <v>1</v>
      </c>
      <c r="Q56" s="3" t="s">
        <v>151</v>
      </c>
      <c r="R56" s="6" t="s">
        <v>152</v>
      </c>
    </row>
    <row r="57" customFormat="false" ht="23.85" hidden="false" customHeight="false" outlineLevel="0" collapsed="false">
      <c r="A57" s="3" t="s">
        <v>144</v>
      </c>
      <c r="B57" s="3" t="n">
        <v>434</v>
      </c>
      <c r="C57" s="3" t="s">
        <v>108</v>
      </c>
      <c r="D57" s="3" t="n">
        <v>100592068</v>
      </c>
      <c r="E57" s="3" t="s">
        <v>219</v>
      </c>
      <c r="F57" s="3" t="s">
        <v>220</v>
      </c>
      <c r="G57" s="3" t="s">
        <v>147</v>
      </c>
      <c r="H57" s="3"/>
      <c r="I57" s="3" t="s">
        <v>148</v>
      </c>
      <c r="J57" s="3" t="s">
        <v>149</v>
      </c>
      <c r="K57" s="3" t="s">
        <v>149</v>
      </c>
      <c r="L57" s="3" t="s">
        <v>30</v>
      </c>
      <c r="M57" s="11" t="b">
        <f aca="false">FALSE()</f>
        <v>0</v>
      </c>
      <c r="N57" s="3" t="s">
        <v>150</v>
      </c>
      <c r="O57" s="3" t="s">
        <v>42</v>
      </c>
      <c r="P57" s="11" t="b">
        <f aca="false">TRUE()</f>
        <v>1</v>
      </c>
      <c r="Q57" s="3" t="s">
        <v>151</v>
      </c>
      <c r="R57" s="6" t="s">
        <v>152</v>
      </c>
    </row>
    <row r="58" customFormat="false" ht="23.85" hidden="false" customHeight="false" outlineLevel="0" collapsed="false">
      <c r="A58" s="3" t="s">
        <v>144</v>
      </c>
      <c r="B58" s="3" t="n">
        <v>435</v>
      </c>
      <c r="C58" s="3" t="s">
        <v>108</v>
      </c>
      <c r="D58" s="3" t="n">
        <v>100592068</v>
      </c>
      <c r="E58" s="3" t="s">
        <v>219</v>
      </c>
      <c r="F58" s="3" t="s">
        <v>221</v>
      </c>
      <c r="G58" s="3" t="s">
        <v>147</v>
      </c>
      <c r="H58" s="3"/>
      <c r="I58" s="3" t="s">
        <v>148</v>
      </c>
      <c r="J58" s="3" t="s">
        <v>149</v>
      </c>
      <c r="K58" s="3" t="s">
        <v>149</v>
      </c>
      <c r="L58" s="3" t="s">
        <v>30</v>
      </c>
      <c r="M58" s="11" t="b">
        <f aca="false">FALSE()</f>
        <v>0</v>
      </c>
      <c r="N58" s="3" t="s">
        <v>150</v>
      </c>
      <c r="O58" s="3" t="s">
        <v>42</v>
      </c>
      <c r="P58" s="11" t="b">
        <f aca="false">TRUE()</f>
        <v>1</v>
      </c>
      <c r="Q58" s="3" t="s">
        <v>151</v>
      </c>
      <c r="R58" s="6" t="s">
        <v>152</v>
      </c>
    </row>
    <row r="59" customFormat="false" ht="23.85" hidden="false" customHeight="false" outlineLevel="0" collapsed="false">
      <c r="A59" s="3" t="s">
        <v>144</v>
      </c>
      <c r="B59" s="3" t="n">
        <v>436</v>
      </c>
      <c r="C59" s="3" t="s">
        <v>108</v>
      </c>
      <c r="D59" s="3" t="n">
        <v>100592068</v>
      </c>
      <c r="E59" s="3" t="s">
        <v>219</v>
      </c>
      <c r="F59" s="3" t="s">
        <v>222</v>
      </c>
      <c r="G59" s="3" t="s">
        <v>147</v>
      </c>
      <c r="H59" s="3"/>
      <c r="I59" s="3" t="s">
        <v>148</v>
      </c>
      <c r="J59" s="3" t="s">
        <v>149</v>
      </c>
      <c r="K59" s="3" t="s">
        <v>149</v>
      </c>
      <c r="L59" s="3" t="s">
        <v>30</v>
      </c>
      <c r="M59" s="11" t="b">
        <f aca="false">FALSE()</f>
        <v>0</v>
      </c>
      <c r="N59" s="3" t="s">
        <v>150</v>
      </c>
      <c r="O59" s="3" t="s">
        <v>42</v>
      </c>
      <c r="P59" s="11" t="b">
        <f aca="false">TRUE()</f>
        <v>1</v>
      </c>
      <c r="Q59" s="3" t="s">
        <v>151</v>
      </c>
      <c r="R59" s="6" t="s">
        <v>152</v>
      </c>
    </row>
    <row r="60" customFormat="false" ht="35.05" hidden="false" customHeight="false" outlineLevel="0" collapsed="false">
      <c r="A60" s="3" t="s">
        <v>156</v>
      </c>
      <c r="B60" s="3" t="n">
        <v>101</v>
      </c>
      <c r="C60" s="3" t="s">
        <v>108</v>
      </c>
      <c r="D60" s="3" t="n">
        <v>100592068</v>
      </c>
      <c r="E60" s="3" t="s">
        <v>219</v>
      </c>
      <c r="F60" s="3" t="s">
        <v>223</v>
      </c>
      <c r="G60" s="3" t="s">
        <v>147</v>
      </c>
      <c r="H60" s="3"/>
      <c r="I60" s="3" t="s">
        <v>148</v>
      </c>
      <c r="J60" s="3" t="s">
        <v>158</v>
      </c>
      <c r="K60" s="3" t="s">
        <v>158</v>
      </c>
      <c r="L60" s="3" t="s">
        <v>30</v>
      </c>
      <c r="M60" s="11" t="b">
        <f aca="false">FALSE()</f>
        <v>0</v>
      </c>
      <c r="N60" s="3" t="s">
        <v>150</v>
      </c>
      <c r="O60" s="3" t="s">
        <v>42</v>
      </c>
      <c r="P60" s="11" t="b">
        <f aca="false">TRUE()</f>
        <v>1</v>
      </c>
      <c r="Q60" s="3" t="s">
        <v>151</v>
      </c>
      <c r="R60" s="6" t="s">
        <v>152</v>
      </c>
    </row>
    <row r="61" customFormat="false" ht="35.05" hidden="false" customHeight="false" outlineLevel="0" collapsed="false">
      <c r="A61" s="3" t="s">
        <v>156</v>
      </c>
      <c r="B61" s="3" t="n">
        <v>102</v>
      </c>
      <c r="C61" s="3" t="s">
        <v>108</v>
      </c>
      <c r="D61" s="3" t="n">
        <v>100592068</v>
      </c>
      <c r="E61" s="3" t="s">
        <v>219</v>
      </c>
      <c r="F61" s="3" t="s">
        <v>224</v>
      </c>
      <c r="G61" s="3" t="s">
        <v>147</v>
      </c>
      <c r="H61" s="3"/>
      <c r="I61" s="3" t="s">
        <v>148</v>
      </c>
      <c r="J61" s="3" t="s">
        <v>158</v>
      </c>
      <c r="K61" s="3" t="s">
        <v>158</v>
      </c>
      <c r="L61" s="3" t="s">
        <v>30</v>
      </c>
      <c r="M61" s="11" t="b">
        <f aca="false">FALSE()</f>
        <v>0</v>
      </c>
      <c r="N61" s="3" t="s">
        <v>150</v>
      </c>
      <c r="O61" s="3" t="s">
        <v>42</v>
      </c>
      <c r="P61" s="11" t="b">
        <f aca="false">TRUE()</f>
        <v>1</v>
      </c>
      <c r="Q61" s="3" t="s">
        <v>151</v>
      </c>
      <c r="R61" s="6" t="s">
        <v>152</v>
      </c>
    </row>
    <row r="62" customFormat="false" ht="35.05" hidden="false" customHeight="false" outlineLevel="0" collapsed="false">
      <c r="A62" s="3" t="s">
        <v>156</v>
      </c>
      <c r="B62" s="3" t="n">
        <v>103</v>
      </c>
      <c r="C62" s="3" t="s">
        <v>108</v>
      </c>
      <c r="D62" s="3" t="n">
        <v>100592068</v>
      </c>
      <c r="E62" s="3" t="s">
        <v>219</v>
      </c>
      <c r="F62" s="3" t="s">
        <v>225</v>
      </c>
      <c r="G62" s="3" t="s">
        <v>147</v>
      </c>
      <c r="H62" s="3"/>
      <c r="I62" s="3" t="s">
        <v>148</v>
      </c>
      <c r="J62" s="3" t="s">
        <v>158</v>
      </c>
      <c r="K62" s="3" t="s">
        <v>158</v>
      </c>
      <c r="L62" s="3" t="s">
        <v>30</v>
      </c>
      <c r="M62" s="11" t="b">
        <f aca="false">FALSE()</f>
        <v>0</v>
      </c>
      <c r="N62" s="3" t="s">
        <v>150</v>
      </c>
      <c r="O62" s="3" t="s">
        <v>42</v>
      </c>
      <c r="P62" s="11" t="b">
        <f aca="false">TRUE()</f>
        <v>1</v>
      </c>
      <c r="Q62" s="3" t="s">
        <v>151</v>
      </c>
      <c r="R62" s="6" t="s">
        <v>152</v>
      </c>
    </row>
  </sheetData>
  <autoFilter ref="A3:R6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32"/>
    <col collapsed="false" customWidth="true" hidden="false" outlineLevel="0" max="4" min="4" style="0" width="50"/>
    <col collapsed="false" customWidth="true" hidden="false" outlineLevel="0" max="5" min="5" style="0" width="80"/>
    <col collapsed="false" customWidth="true" hidden="false" outlineLevel="0" max="6" min="6" style="0" width="20"/>
  </cols>
  <sheetData>
    <row r="1" customFormat="false" ht="15" hidden="false" customHeight="false" outlineLevel="0" collapsed="false">
      <c r="A1" s="1" t="s">
        <v>226</v>
      </c>
    </row>
    <row r="3" customFormat="false" ht="15" hidden="false" customHeight="false" outlineLevel="0" collapsed="false">
      <c r="A3" s="2" t="s">
        <v>227</v>
      </c>
      <c r="B3" s="2" t="s">
        <v>228</v>
      </c>
      <c r="C3" s="2" t="s">
        <v>229</v>
      </c>
      <c r="D3" s="2" t="s">
        <v>230</v>
      </c>
      <c r="E3" s="2" t="s">
        <v>231</v>
      </c>
      <c r="F3" s="2" t="s">
        <v>232</v>
      </c>
    </row>
    <row r="4" customFormat="false" ht="150" hidden="false" customHeight="true" outlineLevel="0" collapsed="false">
      <c r="A4" s="3" t="s">
        <v>233</v>
      </c>
      <c r="B4" s="3" t="s">
        <v>234</v>
      </c>
      <c r="C4" s="3" t="s">
        <v>235</v>
      </c>
      <c r="D4" s="3" t="s">
        <v>236</v>
      </c>
      <c r="E4" s="3" t="s">
        <v>237</v>
      </c>
      <c r="F4" s="7" t="s">
        <v>238</v>
      </c>
    </row>
    <row r="5" customFormat="false" ht="150" hidden="false" customHeight="true" outlineLevel="0" collapsed="false">
      <c r="A5" s="3" t="s">
        <v>239</v>
      </c>
      <c r="B5" s="3" t="s">
        <v>240</v>
      </c>
      <c r="C5" s="3" t="s">
        <v>241</v>
      </c>
      <c r="D5" s="3" t="s">
        <v>242</v>
      </c>
      <c r="E5" s="3" t="s">
        <v>243</v>
      </c>
      <c r="F5" s="7" t="s">
        <v>244</v>
      </c>
    </row>
    <row r="6" customFormat="false" ht="150" hidden="false" customHeight="true" outlineLevel="0" collapsed="false">
      <c r="A6" s="3" t="s">
        <v>245</v>
      </c>
      <c r="B6" s="3" t="s">
        <v>246</v>
      </c>
      <c r="C6" s="3" t="s">
        <v>247</v>
      </c>
      <c r="D6" s="3" t="s">
        <v>248</v>
      </c>
      <c r="E6" s="3" t="s">
        <v>249</v>
      </c>
      <c r="F6" s="7" t="s">
        <v>250</v>
      </c>
    </row>
    <row r="7" customFormat="false" ht="150" hidden="false" customHeight="true" outlineLevel="0" collapsed="false">
      <c r="A7" s="3" t="s">
        <v>251</v>
      </c>
      <c r="B7" s="3" t="s">
        <v>252</v>
      </c>
      <c r="C7" s="3" t="s">
        <v>253</v>
      </c>
      <c r="D7" s="3" t="s">
        <v>254</v>
      </c>
      <c r="E7" s="3" t="s">
        <v>255</v>
      </c>
      <c r="F7" s="6" t="s">
        <v>256</v>
      </c>
    </row>
    <row r="8" customFormat="false" ht="150" hidden="false" customHeight="true" outlineLevel="0" collapsed="false">
      <c r="A8" s="3" t="s">
        <v>257</v>
      </c>
      <c r="B8" s="3" t="s">
        <v>258</v>
      </c>
      <c r="C8" s="3" t="s">
        <v>259</v>
      </c>
      <c r="D8" s="3" t="s">
        <v>260</v>
      </c>
      <c r="E8" s="3" t="s">
        <v>261</v>
      </c>
      <c r="F8" s="6" t="s">
        <v>262</v>
      </c>
    </row>
    <row r="9" customFormat="false" ht="150" hidden="false" customHeight="true" outlineLevel="0" collapsed="false">
      <c r="A9" s="3" t="s">
        <v>263</v>
      </c>
      <c r="B9" s="3" t="s">
        <v>264</v>
      </c>
      <c r="C9" s="3" t="s">
        <v>265</v>
      </c>
      <c r="D9" s="3" t="s">
        <v>266</v>
      </c>
      <c r="E9" s="3" t="s">
        <v>267</v>
      </c>
      <c r="F9" s="6" t="s">
        <v>268</v>
      </c>
    </row>
    <row r="10" customFormat="false" ht="150" hidden="false" customHeight="true" outlineLevel="0" collapsed="false">
      <c r="A10" s="3" t="s">
        <v>269</v>
      </c>
      <c r="B10" s="3" t="s">
        <v>270</v>
      </c>
      <c r="C10" s="3" t="s">
        <v>271</v>
      </c>
      <c r="D10" s="3" t="s">
        <v>272</v>
      </c>
      <c r="E10" s="3" t="s">
        <v>273</v>
      </c>
      <c r="F10" s="6" t="s">
        <v>268</v>
      </c>
    </row>
    <row r="11" customFormat="false" ht="150" hidden="false" customHeight="true" outlineLevel="0" collapsed="false">
      <c r="A11" s="3" t="s">
        <v>274</v>
      </c>
      <c r="B11" s="3" t="s">
        <v>275</v>
      </c>
      <c r="C11" s="3" t="s">
        <v>276</v>
      </c>
      <c r="D11" s="3" t="s">
        <v>277</v>
      </c>
      <c r="E11" s="3" t="s">
        <v>278</v>
      </c>
      <c r="F11" s="6" t="s">
        <v>279</v>
      </c>
    </row>
    <row r="12" customFormat="false" ht="150" hidden="false" customHeight="true" outlineLevel="0" collapsed="false">
      <c r="A12" s="3" t="s">
        <v>280</v>
      </c>
      <c r="B12" s="3" t="s">
        <v>281</v>
      </c>
      <c r="C12" s="3" t="s">
        <v>282</v>
      </c>
      <c r="D12" s="3" t="s">
        <v>283</v>
      </c>
      <c r="E12" s="3" t="s">
        <v>284</v>
      </c>
      <c r="F12" s="6" t="s">
        <v>279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4" min="3" style="0" width="60"/>
    <col collapsed="false" customWidth="true" hidden="false" outlineLevel="0" max="5" min="5" style="0" width="20"/>
    <col collapsed="false" customWidth="true" hidden="false" outlineLevel="0" max="6" min="6" style="0" width="12"/>
  </cols>
  <sheetData>
    <row r="1" customFormat="false" ht="15" hidden="false" customHeight="false" outlineLevel="0" collapsed="false">
      <c r="A1" s="1" t="s">
        <v>285</v>
      </c>
    </row>
    <row r="3" customFormat="false" ht="15" hidden="false" customHeight="false" outlineLevel="0" collapsed="false">
      <c r="A3" s="2" t="s">
        <v>1</v>
      </c>
      <c r="B3" s="2" t="s">
        <v>286</v>
      </c>
      <c r="C3" s="2" t="s">
        <v>287</v>
      </c>
      <c r="D3" s="2" t="s">
        <v>288</v>
      </c>
      <c r="E3" s="2" t="s">
        <v>289</v>
      </c>
      <c r="F3" s="2" t="s">
        <v>290</v>
      </c>
    </row>
    <row r="4" customFormat="false" ht="46.25" hidden="false" customHeight="false" outlineLevel="0" collapsed="false">
      <c r="A4" s="3" t="n">
        <v>1</v>
      </c>
      <c r="B4" s="3" t="s">
        <v>291</v>
      </c>
      <c r="C4" s="3" t="s">
        <v>292</v>
      </c>
      <c r="D4" s="3" t="s">
        <v>293</v>
      </c>
      <c r="E4" s="3" t="s">
        <v>294</v>
      </c>
      <c r="F4" s="7" t="s">
        <v>295</v>
      </c>
    </row>
    <row r="5" customFormat="false" ht="23.85" hidden="false" customHeight="false" outlineLevel="0" collapsed="false">
      <c r="A5" s="3" t="n">
        <v>2</v>
      </c>
      <c r="B5" s="3" t="s">
        <v>291</v>
      </c>
      <c r="C5" s="3" t="s">
        <v>296</v>
      </c>
      <c r="D5" s="3" t="s">
        <v>297</v>
      </c>
      <c r="E5" s="3" t="s">
        <v>298</v>
      </c>
      <c r="F5" s="7" t="s">
        <v>295</v>
      </c>
    </row>
    <row r="6" customFormat="false" ht="46.25" hidden="false" customHeight="false" outlineLevel="0" collapsed="false">
      <c r="A6" s="3" t="n">
        <v>3</v>
      </c>
      <c r="B6" s="3" t="s">
        <v>299</v>
      </c>
      <c r="C6" s="3" t="s">
        <v>300</v>
      </c>
      <c r="D6" s="3" t="s">
        <v>301</v>
      </c>
      <c r="E6" s="3" t="s">
        <v>302</v>
      </c>
      <c r="F6" s="7" t="s">
        <v>295</v>
      </c>
    </row>
    <row r="7" customFormat="false" ht="35.05" hidden="false" customHeight="false" outlineLevel="0" collapsed="false">
      <c r="A7" s="3" t="n">
        <v>4</v>
      </c>
      <c r="B7" s="3" t="s">
        <v>303</v>
      </c>
      <c r="C7" s="3" t="s">
        <v>304</v>
      </c>
      <c r="D7" s="3" t="s">
        <v>305</v>
      </c>
      <c r="E7" s="3" t="s">
        <v>306</v>
      </c>
      <c r="F7" s="7" t="s">
        <v>295</v>
      </c>
    </row>
    <row r="8" customFormat="false" ht="23.85" hidden="false" customHeight="false" outlineLevel="0" collapsed="false">
      <c r="A8" s="3" t="n">
        <v>5</v>
      </c>
      <c r="B8" s="3" t="s">
        <v>59</v>
      </c>
      <c r="C8" s="3" t="s">
        <v>307</v>
      </c>
      <c r="D8" s="3" t="s">
        <v>308</v>
      </c>
      <c r="E8" s="3" t="s">
        <v>298</v>
      </c>
      <c r="F8" s="7" t="s">
        <v>295</v>
      </c>
    </row>
    <row r="9" customFormat="false" ht="23.85" hidden="false" customHeight="false" outlineLevel="0" collapsed="false">
      <c r="A9" s="3" t="n">
        <v>6</v>
      </c>
      <c r="B9" s="3" t="s">
        <v>309</v>
      </c>
      <c r="C9" s="3" t="s">
        <v>310</v>
      </c>
      <c r="D9" s="3" t="s">
        <v>311</v>
      </c>
      <c r="E9" s="3" t="s">
        <v>302</v>
      </c>
      <c r="F9" s="7" t="s">
        <v>295</v>
      </c>
    </row>
    <row r="10" customFormat="false" ht="23.85" hidden="false" customHeight="false" outlineLevel="0" collapsed="false">
      <c r="A10" s="3" t="n">
        <v>7</v>
      </c>
      <c r="B10" s="3" t="s">
        <v>108</v>
      </c>
      <c r="C10" s="3" t="s">
        <v>312</v>
      </c>
      <c r="D10" s="3" t="s">
        <v>313</v>
      </c>
      <c r="E10" s="3" t="s">
        <v>314</v>
      </c>
      <c r="F10" s="7" t="s">
        <v>295</v>
      </c>
    </row>
    <row r="11" customFormat="false" ht="23.85" hidden="false" customHeight="false" outlineLevel="0" collapsed="false">
      <c r="A11" s="3" t="n">
        <v>8</v>
      </c>
      <c r="B11" s="3" t="s">
        <v>299</v>
      </c>
      <c r="C11" s="3" t="s">
        <v>315</v>
      </c>
      <c r="D11" s="3" t="s">
        <v>316</v>
      </c>
      <c r="E11" s="3" t="s">
        <v>317</v>
      </c>
      <c r="F11" s="7" t="s">
        <v>295</v>
      </c>
    </row>
    <row r="12" customFormat="false" ht="23.85" hidden="false" customHeight="false" outlineLevel="0" collapsed="false">
      <c r="A12" s="3" t="n">
        <v>9</v>
      </c>
      <c r="B12" s="3" t="s">
        <v>318</v>
      </c>
      <c r="C12" s="3" t="s">
        <v>319</v>
      </c>
      <c r="D12" s="3" t="s">
        <v>320</v>
      </c>
      <c r="E12" s="3" t="s">
        <v>314</v>
      </c>
      <c r="F12" s="7" t="s">
        <v>295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0"/>
  </cols>
  <sheetData>
    <row r="1" customFormat="false" ht="15" hidden="false" customHeight="false" outlineLevel="0" collapsed="false">
      <c r="A1" s="1" t="s">
        <v>321</v>
      </c>
    </row>
    <row r="3" customFormat="false" ht="15" hidden="false" customHeight="false" outlineLevel="0" collapsed="false">
      <c r="A3" s="13" t="s">
        <v>322</v>
      </c>
    </row>
    <row r="4" customFormat="false" ht="15" hidden="false" customHeight="false" outlineLevel="0" collapsed="false">
      <c r="A4" s="13"/>
    </row>
    <row r="5" customFormat="false" ht="23.85" hidden="false" customHeight="false" outlineLevel="0" collapsed="false">
      <c r="A5" s="13" t="s">
        <v>323</v>
      </c>
    </row>
    <row r="6" customFormat="false" ht="15" hidden="false" customHeight="false" outlineLevel="0" collapsed="false">
      <c r="A6" s="13"/>
    </row>
    <row r="7" customFormat="false" ht="15" hidden="false" customHeight="false" outlineLevel="0" collapsed="false">
      <c r="A7" s="13" t="s">
        <v>324</v>
      </c>
    </row>
    <row r="8" customFormat="false" ht="35.05" hidden="false" customHeight="false" outlineLevel="0" collapsed="false">
      <c r="A8" s="13" t="s">
        <v>325</v>
      </c>
    </row>
    <row r="9" customFormat="false" ht="35.05" hidden="false" customHeight="false" outlineLevel="0" collapsed="false">
      <c r="A9" s="13" t="s">
        <v>326</v>
      </c>
    </row>
    <row r="10" customFormat="false" ht="15" hidden="false" customHeight="false" outlineLevel="0" collapsed="false">
      <c r="A10" s="13"/>
    </row>
    <row r="11" customFormat="false" ht="15" hidden="false" customHeight="false" outlineLevel="0" collapsed="false">
      <c r="A11" s="13" t="s">
        <v>327</v>
      </c>
    </row>
    <row r="12" customFormat="false" ht="23.85" hidden="false" customHeight="false" outlineLevel="0" collapsed="false">
      <c r="A12" s="13" t="s">
        <v>328</v>
      </c>
    </row>
    <row r="13" customFormat="false" ht="35.05" hidden="false" customHeight="false" outlineLevel="0" collapsed="false">
      <c r="A13" s="13" t="s">
        <v>329</v>
      </c>
    </row>
    <row r="14" customFormat="false" ht="23.85" hidden="false" customHeight="false" outlineLevel="0" collapsed="false">
      <c r="A14" s="13" t="s">
        <v>330</v>
      </c>
    </row>
    <row r="15" customFormat="false" ht="15" hidden="false" customHeight="false" outlineLevel="0" collapsed="false">
      <c r="A15" s="13" t="s">
        <v>331</v>
      </c>
    </row>
    <row r="16" customFormat="false" ht="15" hidden="false" customHeight="false" outlineLevel="0" collapsed="false">
      <c r="A16" s="13" t="s">
        <v>332</v>
      </c>
    </row>
    <row r="17" customFormat="false" ht="15" hidden="false" customHeight="false" outlineLevel="0" collapsed="false">
      <c r="A17" s="13"/>
    </row>
    <row r="18" customFormat="false" ht="15" hidden="false" customHeight="false" outlineLevel="0" collapsed="false">
      <c r="A18" s="13" t="s">
        <v>333</v>
      </c>
    </row>
    <row r="19" customFormat="false" ht="15" hidden="false" customHeight="false" outlineLevel="0" collapsed="false">
      <c r="A19" s="13"/>
    </row>
    <row r="20" customFormat="false" ht="15" hidden="false" customHeight="false" outlineLevel="0" collapsed="false">
      <c r="A20" s="13" t="s">
        <v>334</v>
      </c>
    </row>
    <row r="21" customFormat="false" ht="15" hidden="false" customHeight="false" outlineLevel="0" collapsed="false">
      <c r="A21" s="13" t="s">
        <v>335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32"/>
    <col collapsed="false" customWidth="true" hidden="false" outlineLevel="0" max="3" min="3" style="0" width="60"/>
    <col collapsed="false" customWidth="true" hidden="false" outlineLevel="0" max="4" min="4" style="0" width="50"/>
    <col collapsed="false" customWidth="true" hidden="false" outlineLevel="0" max="5" min="5" style="0" width="36"/>
  </cols>
  <sheetData>
    <row r="1" customFormat="false" ht="15" hidden="false" customHeight="false" outlineLevel="0" collapsed="false">
      <c r="A1" s="1" t="s">
        <v>336</v>
      </c>
    </row>
    <row r="3" customFormat="false" ht="15" hidden="false" customHeight="false" outlineLevel="0" collapsed="false">
      <c r="A3" s="2" t="s">
        <v>337</v>
      </c>
      <c r="B3" s="2" t="s">
        <v>338</v>
      </c>
      <c r="C3" s="2" t="s">
        <v>339</v>
      </c>
      <c r="D3" s="2" t="s">
        <v>340</v>
      </c>
      <c r="E3" s="2" t="s">
        <v>341</v>
      </c>
    </row>
    <row r="4" customFormat="false" ht="23.85" hidden="false" customHeight="false" outlineLevel="0" collapsed="false">
      <c r="A4" s="3" t="s">
        <v>342</v>
      </c>
      <c r="B4" s="3" t="s">
        <v>343</v>
      </c>
      <c r="C4" s="3" t="s">
        <v>344</v>
      </c>
      <c r="D4" s="3" t="s">
        <v>345</v>
      </c>
      <c r="E4" s="3" t="s">
        <v>346</v>
      </c>
    </row>
    <row r="5" customFormat="false" ht="15" hidden="false" customHeight="false" outlineLevel="0" collapsed="false">
      <c r="A5" s="3" t="s">
        <v>342</v>
      </c>
      <c r="B5" s="3" t="s">
        <v>156</v>
      </c>
      <c r="C5" s="3" t="s">
        <v>347</v>
      </c>
      <c r="D5" s="3" t="s">
        <v>348</v>
      </c>
      <c r="E5" s="3" t="s">
        <v>346</v>
      </c>
    </row>
    <row r="6" customFormat="false" ht="23.85" hidden="false" customHeight="false" outlineLevel="0" collapsed="false">
      <c r="A6" s="3" t="s">
        <v>342</v>
      </c>
      <c r="B6" s="3" t="s">
        <v>349</v>
      </c>
      <c r="C6" s="3" t="s">
        <v>350</v>
      </c>
      <c r="D6" s="3" t="s">
        <v>351</v>
      </c>
      <c r="E6" s="3" t="s">
        <v>346</v>
      </c>
    </row>
    <row r="7" customFormat="false" ht="15" hidden="false" customHeight="false" outlineLevel="0" collapsed="false">
      <c r="A7" s="3" t="s">
        <v>342</v>
      </c>
      <c r="B7" s="3" t="s">
        <v>144</v>
      </c>
      <c r="C7" s="3" t="s">
        <v>352</v>
      </c>
      <c r="D7" s="3" t="s">
        <v>348</v>
      </c>
      <c r="E7" s="3" t="s">
        <v>346</v>
      </c>
    </row>
    <row r="8" customFormat="false" ht="23.85" hidden="false" customHeight="false" outlineLevel="0" collapsed="false">
      <c r="A8" s="3" t="s">
        <v>342</v>
      </c>
      <c r="B8" s="3" t="s">
        <v>353</v>
      </c>
      <c r="C8" s="3" t="s">
        <v>354</v>
      </c>
      <c r="D8" s="3" t="s">
        <v>355</v>
      </c>
      <c r="E8" s="3" t="s">
        <v>346</v>
      </c>
    </row>
    <row r="9" customFormat="false" ht="23.85" hidden="false" customHeight="false" outlineLevel="0" collapsed="false">
      <c r="A9" s="3" t="s">
        <v>342</v>
      </c>
      <c r="B9" s="3" t="s">
        <v>356</v>
      </c>
      <c r="C9" s="3" t="s">
        <v>357</v>
      </c>
      <c r="D9" s="3" t="s">
        <v>358</v>
      </c>
      <c r="E9" s="3" t="s">
        <v>346</v>
      </c>
    </row>
    <row r="10" customFormat="false" ht="23.85" hidden="false" customHeight="false" outlineLevel="0" collapsed="false">
      <c r="A10" s="3" t="s">
        <v>342</v>
      </c>
      <c r="B10" s="3" t="s">
        <v>359</v>
      </c>
      <c r="C10" s="3" t="s">
        <v>360</v>
      </c>
      <c r="D10" s="3" t="s">
        <v>361</v>
      </c>
      <c r="E10" s="3" t="s">
        <v>346</v>
      </c>
    </row>
    <row r="11" customFormat="false" ht="23.85" hidden="false" customHeight="false" outlineLevel="0" collapsed="false">
      <c r="A11" s="3" t="s">
        <v>362</v>
      </c>
      <c r="B11" s="3" t="s">
        <v>363</v>
      </c>
      <c r="C11" s="3" t="s">
        <v>364</v>
      </c>
      <c r="D11" s="3" t="s">
        <v>365</v>
      </c>
      <c r="E11" s="3" t="s">
        <v>366</v>
      </c>
    </row>
    <row r="12" customFormat="false" ht="15" hidden="false" customHeight="false" outlineLevel="0" collapsed="false">
      <c r="A12" s="3" t="s">
        <v>367</v>
      </c>
      <c r="B12" s="3" t="s">
        <v>42</v>
      </c>
      <c r="C12" s="3" t="s">
        <v>368</v>
      </c>
      <c r="D12" s="3" t="s">
        <v>369</v>
      </c>
      <c r="E12" s="3" t="s">
        <v>370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</cols>
  <sheetData>
    <row r="1" customFormat="false" ht="15" hidden="false" customHeight="false" outlineLevel="0" collapsed="false">
      <c r="A1" s="1" t="s">
        <v>371</v>
      </c>
    </row>
    <row r="3" customFormat="false" ht="15" hidden="false" customHeight="false" outlineLevel="0" collapsed="false">
      <c r="A3" s="2" t="s">
        <v>372</v>
      </c>
      <c r="B3" s="2" t="s">
        <v>373</v>
      </c>
    </row>
    <row r="4" customFormat="false" ht="15" hidden="false" customHeight="false" outlineLevel="0" collapsed="false">
      <c r="A4" s="14" t="n">
        <v>45901</v>
      </c>
      <c r="B4" s="15" t="s">
        <v>374</v>
      </c>
    </row>
    <row r="5" customFormat="false" ht="15" hidden="false" customHeight="false" outlineLevel="0" collapsed="false">
      <c r="A5" s="14" t="n">
        <v>45943</v>
      </c>
      <c r="B5" s="15" t="s">
        <v>375</v>
      </c>
    </row>
    <row r="6" customFormat="false" ht="15" hidden="false" customHeight="false" outlineLevel="0" collapsed="false">
      <c r="A6" s="14" t="n">
        <v>45972</v>
      </c>
      <c r="B6" s="15" t="s">
        <v>376</v>
      </c>
    </row>
    <row r="7" customFormat="false" ht="15" hidden="false" customHeight="false" outlineLevel="0" collapsed="false">
      <c r="A7" s="14" t="n">
        <v>45988</v>
      </c>
      <c r="B7" s="15" t="s">
        <v>377</v>
      </c>
    </row>
    <row r="8" customFormat="false" ht="15" hidden="false" customHeight="false" outlineLevel="0" collapsed="false">
      <c r="A8" s="14" t="n">
        <v>46016</v>
      </c>
      <c r="B8" s="15" t="s">
        <v>378</v>
      </c>
    </row>
    <row r="9" customFormat="false" ht="15" hidden="false" customHeight="false" outlineLevel="0" collapsed="false">
      <c r="A9" s="14" t="n">
        <v>46023</v>
      </c>
      <c r="B9" s="15" t="s">
        <v>379</v>
      </c>
    </row>
    <row r="10" customFormat="false" ht="15" hidden="false" customHeight="false" outlineLevel="0" collapsed="false">
      <c r="A10" s="14" t="n">
        <v>46041</v>
      </c>
      <c r="B10" s="15" t="s">
        <v>380</v>
      </c>
    </row>
    <row r="11" customFormat="false" ht="15" hidden="false" customHeight="false" outlineLevel="0" collapsed="false">
      <c r="A11" s="14" t="n">
        <v>46069</v>
      </c>
      <c r="B11" s="15" t="s">
        <v>381</v>
      </c>
    </row>
    <row r="12" customFormat="false" ht="15" hidden="false" customHeight="false" outlineLevel="0" collapsed="false">
      <c r="A12" s="14" t="n">
        <v>46167</v>
      </c>
      <c r="B12" s="15" t="s">
        <v>382</v>
      </c>
    </row>
    <row r="13" customFormat="false" ht="15" hidden="false" customHeight="false" outlineLevel="0" collapsed="false">
      <c r="A13" s="14" t="n">
        <v>46192</v>
      </c>
      <c r="B13" s="15" t="s">
        <v>383</v>
      </c>
    </row>
    <row r="14" customFormat="false" ht="15" hidden="false" customHeight="false" outlineLevel="0" collapsed="false">
      <c r="A14" s="14" t="n">
        <v>46206</v>
      </c>
      <c r="B14" s="15" t="s">
        <v>384</v>
      </c>
    </row>
    <row r="15" customFormat="false" ht="15" hidden="false" customHeight="false" outlineLevel="0" collapsed="false">
      <c r="A15" s="14" t="n">
        <v>46272</v>
      </c>
      <c r="B15" s="15" t="s">
        <v>374</v>
      </c>
    </row>
    <row r="16" customFormat="false" ht="15" hidden="false" customHeight="false" outlineLevel="0" collapsed="false">
      <c r="A16" s="14" t="n">
        <v>46307</v>
      </c>
      <c r="B16" s="15" t="s">
        <v>375</v>
      </c>
    </row>
    <row r="17" customFormat="false" ht="15" hidden="false" customHeight="false" outlineLevel="0" collapsed="false">
      <c r="A17" s="14" t="n">
        <v>46337</v>
      </c>
      <c r="B17" s="15" t="s">
        <v>376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2026-10-13T15:53:35Z</dcterms:created>
  <dc:creator>openpyxl</dc:creator>
  <dc:description/>
  <dc:language>en-US</dc:language>
  <cp:lastModifiedBy/>
  <dcterms:modified xsi:type="dcterms:W3CDTF">2026-10-13T15:53:35Z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