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Response Summary" sheetId="1" state="visible" r:id="rId3"/>
    <sheet name="2_Item Detail" sheetId="2" state="visible" r:id="rId4"/>
    <sheet name="3_Step-by-Step" sheetId="3" state="visible" r:id="rId5"/>
    <sheet name="4_Open Items" sheetId="4" state="visible" r:id="rId6"/>
    <sheet name="5_Follow-up Email" sheetId="5" state="visible" r:id="rId7"/>
    <sheet name="6_Sources" sheetId="6" state="visible" r:id="rId8"/>
    <sheet name="7_SLA Re-performance" sheetId="7" state="visible" r:id="rId9"/>
    <sheet name="Holidays" sheetId="8" state="visible" r:id="rId10"/>
  </sheets>
  <definedNames>
    <definedName function="false" hidden="true" localSheetId="1" name="_xlnm._FilterDatabase" vbProcedure="false">'2_Item Detail'!$A$3:$R$62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<sst xmlns="http://schemas.openxmlformats.org/spreadsheetml/2006/main" count="1404" uniqueCount="483">
  <si>
    <t xml:space="preserve">BSI.IT.27.C7 - evaluation of the management response (C7.Sample.xlsx) to the A6 / A5 sample request - 10 accounts</t>
  </si>
  <si>
    <t xml:space="preserve">#</t>
  </si>
  <si>
    <t xml:space="preserve">Account</t>
  </si>
  <si>
    <t xml:space="preserve">Name</t>
  </si>
  <si>
    <t xml:space="preserve">Tested for</t>
  </si>
  <si>
    <t xml:space="preserve">Certification decision (decision date)</t>
  </si>
  <si>
    <t xml:space="preserve">Decision date</t>
  </si>
  <si>
    <t xml:space="preserve">Access removed (date)</t>
  </si>
  <si>
    <t xml:space="preserve">Business days to removal</t>
  </si>
  <si>
    <t xml:space="preserve">SLA deadline (30 business days)</t>
  </si>
  <si>
    <t xml:space="preserve">Removed within 30-business-day SLA?</t>
  </si>
  <si>
    <t xml:space="preserve">Next decision: 2026 Q1</t>
  </si>
  <si>
    <t xml:space="preserve">2026 Q2 SOX Manager cert (sample file)</t>
  </si>
  <si>
    <t xml:space="preserve">2026 Q2 CyberArk Manager cert (sample file)</t>
  </si>
  <si>
    <t xml:space="preserve">Privileged network / PAM access still held in 2026 Q2</t>
  </si>
  <si>
    <t xml:space="preserve">IAMS Termination Date (2026 Q2 export)</t>
  </si>
  <si>
    <t xml:space="preserve">AD status - prior extracts</t>
  </si>
  <si>
    <t xml:space="preserve">AD enabled 10/10/2026 (sample file)</t>
  </si>
  <si>
    <t xml:space="preserve">Access remained removed after remediation?</t>
  </si>
  <si>
    <t xml:space="preserve">Evidence in the sample file</t>
  </si>
  <si>
    <t xml:space="preserve">Evidence still missing</t>
  </si>
  <si>
    <t xml:space="preserve">Conclusion</t>
  </si>
  <si>
    <t xml:space="preserve">MIA25142</t>
  </si>
  <si>
    <t xml:space="preserve">Miguel Nieves Nieves</t>
  </si>
  <si>
    <t xml:space="preserve">A6 Revocation within SLA</t>
  </si>
  <si>
    <t xml:space="preserve">Revoked 08/28/2025 (2025 Q3, Borges, Dayam) - Cisco Network Administrators, ISEAdmin</t>
  </si>
  <si>
    <t xml:space="preserve">Approved 04/30/2026 (re-granted, E3)</t>
  </si>
  <si>
    <t xml:space="preserve">Approved - 3 rows - Borges, Dayam 7/27/26, 12:45 PM (rows 98-100)</t>
  </si>
  <si>
    <t xml:space="preserve">Approved - 3 rows - Borges, Dayam 8/17/26, 9:23 AM (rows 431-433)</t>
  </si>
  <si>
    <t xml:space="preserve">Alero_Consultant_MIA25142; CISCO NETWORK ADMINISTRATORS; CYBERARK_ALERO_USERS; ISEADMIN; CyberArk Owner cert: 12 safe rows for its Alero safe (Heredia, Evelio Alejandro, 8/27/26)</t>
  </si>
  <si>
    <t xml:space="preserve">2024-12-31</t>
  </si>
  <si>
    <t xml:space="preserve">Enabled; member again in AD 11/25/2025</t>
  </si>
  <si>
    <t xml:space="preserve">True (Oct10_2026Users row 1621)</t>
  </si>
  <si>
    <t xml:space="preserve">No - present again in AD 11/25/2025, re-approved 04/30/2026 and still certified (Approved) in the 2026 Q2 SOX and CyberArk Manager certifications in the sample file</t>
  </si>
  <si>
    <t xml:space="preserve">C7.Sample.xlsx: SAMPLE tab screenshots; 2026Q2PamBsiSox-Manager; 2026Q2BsiPamCyberark-Manager; Oct10_2026Users row 1621; Screenshot tab (Get-ADUser export command).</t>
  </si>
  <si>
    <t xml:space="preserve">Netwrix "member removed" log for the 2025 Q3 revocation (only in prior-period evidence); Netwrix / AD audit "member added" event and the approved ServiceNow access request for the re-grant (between the removal date and 11/25/2025); ServiceNow revocation ticket; AD group-membership extract (Get-ADGroupMember) - the 10/10/2026 extract has no group data</t>
  </si>
  <si>
    <t xml:space="preserve">MIA25172</t>
  </si>
  <si>
    <t xml:space="preserve">Juan Hernandez Ruiz</t>
  </si>
  <si>
    <t xml:space="preserve">Revoked 08/28/2025 (2025 Q3, Borges, Dayam) - Cisco Network Administrators</t>
  </si>
  <si>
    <t xml:space="preserve">Approved - 3 rows - Borges, Dayam 7/27/26, 12:45 PM (rows 140-142)</t>
  </si>
  <si>
    <t xml:space="preserve">Approved - 2 rows - Borges, Dayam 8/17/26, 9:23 AM (rows 467-468)</t>
  </si>
  <si>
    <t xml:space="preserve">CISCO NETWORK ADMINISTRATORS; CYBERARK_ALERO_USERS; ISEADMIN; CyberArk Owner cert: 12 safe rows for its Alero safe (Heredia, Evelio Alejandro, 8/27/26)</t>
  </si>
  <si>
    <t xml:space="preserve">-</t>
  </si>
  <si>
    <t xml:space="preserve">True (Oct10_2026Users row 1643)</t>
  </si>
  <si>
    <t xml:space="preserve">C7.Sample.xlsx: SAMPLE tab screenshots; 2026Q2PamBsiSox-Manager; 2026Q2BsiPamCyberark-Manager; Oct10_2026Users row 1643; Screenshot tab (Get-ADUser export command).</t>
  </si>
  <si>
    <t xml:space="preserve">MIA25175</t>
  </si>
  <si>
    <t xml:space="preserve">Carlos Hernandez Acevedo</t>
  </si>
  <si>
    <t xml:space="preserve">Approved - 3 rows - Borges, Dayam 7/27/26, 12:45 PM (rows 143-145)</t>
  </si>
  <si>
    <t xml:space="preserve">Approved - 3 rows - Borges, Dayam 8/17/26, 9:23 AM (rows 469-471)</t>
  </si>
  <si>
    <t xml:space="preserve">Alero_Consultant_MIA25175; CISCO NETWORK ADMINISTRATORS; CYBERARK_ALERO_USERS; ISEADMIN; CyberArk Owner cert: 12 safe rows for its Alero safe (Heredia, Evelio Alejandro, 8/27/26)</t>
  </si>
  <si>
    <t xml:space="preserve">True (Oct10_2026Users row 1644)</t>
  </si>
  <si>
    <t xml:space="preserve">C7.Sample.xlsx: SAMPLE tab screenshots; 2026Q2PamBsiSox-Manager; 2026Q2BsiPamCyberark-Manager; Oct10_2026Users row 1644; Screenshot tab (Get-ADUser export command).</t>
  </si>
  <si>
    <t xml:space="preserve">X453396</t>
  </si>
  <si>
    <t xml:space="preserve">Juan Fernando Perez Peralta</t>
  </si>
  <si>
    <t xml:space="preserve">Approved - 3 rows - Borges, Dayam 7/27/26, 12:45 PM (rows 110-112)</t>
  </si>
  <si>
    <t xml:space="preserve">Approved - 3 rows - Borges, Dayam 8/17/26, 9:23 AM (rows 443-445)</t>
  </si>
  <si>
    <t xml:space="preserve">Alero_Protect-x453396; CISCO NETWORK ADMINISTRATORS; CYBERARK_ALERO_USERS; ISEADMIN; CyberArk Owner cert: 12 safe rows for its Alero safe (Heredia, Evelio Alejandro, 8/27/26)</t>
  </si>
  <si>
    <t xml:space="preserve">True (Oct10_2026Users row 1835)</t>
  </si>
  <si>
    <t xml:space="preserve">C7.Sample.xlsx: SAMPLE tab screenshots; 2026Q2PamBsiSox-Manager; 2026Q2BsiPamCyberark-Manager; Oct10_2026Users row 1835; Screenshot tab (Get-ADUser export command).</t>
  </si>
  <si>
    <t xml:space="preserve">MIA25103</t>
  </si>
  <si>
    <t xml:space="preserve">Ivan Ramirez Gonzalez</t>
  </si>
  <si>
    <t xml:space="preserve">A5 / supporting - account status</t>
  </si>
  <si>
    <t xml:space="preserve">Approved 08/28/2025 (2025 Q3, Borges, Dayam)</t>
  </si>
  <si>
    <t xml:space="preserve">N/A</t>
  </si>
  <si>
    <t xml:space="preserve">N/A - not revoked</t>
  </si>
  <si>
    <t xml:space="preserve">N/A - no revocation decision</t>
  </si>
  <si>
    <t xml:space="preserve">Approved 04/30/2026</t>
  </si>
  <si>
    <t xml:space="preserve">Approved - 3 rows - Borges, Dayam 7/27/26, 12:45 PM (rows 86-88)</t>
  </si>
  <si>
    <t xml:space="preserve">Approved - 3 rows - Borges, Dayam 8/17/26, 9:23 AM (rows 419-421)</t>
  </si>
  <si>
    <t xml:space="preserve">Alero_Consultant_MIA25103; CISCO NETWORK ADMINISTRATORS; CYBERARK_ALERO_USERS; ISEADMIN; CyberArk Owner cert: 12 safe rows for its Alero safe (Heredia, Evelio Alejandro, 8/27/26)</t>
  </si>
  <si>
    <t xml:space="preserve">Disabled 11/25/2025 and 05/15/2026 (last logon 10/15/2023)</t>
  </si>
  <si>
    <t xml:space="preserve">False (Oct10_2026Users row 1598)</t>
  </si>
  <si>
    <t xml:space="preserve">N/A - never revoked (Approved in 2025 Q3, 2026 Q1 and 2026 Q2)</t>
  </si>
  <si>
    <t xml:space="preserve">C7.Sample.xlsx: SAMPLE tab screenshots; 2026Q2PamBsiSox-Manager; 2026Q2BsiPamCyberark-Manager; Oct10_2026Users row 1598; Screenshot tab (Get-ADUser export command).</t>
  </si>
  <si>
    <t xml:space="preserve">HR / vendor contract evidence that the engagement was active on each decision date (IAMS shows termination 12/31/2024); rationale for approving terminated / AD-disabled identities; AD audit (whenChanged / Netwrix) for the enable / disable history; ServiceNow ticket or exception record; group-membership extract</t>
  </si>
  <si>
    <t xml:space="preserve">Exception (A5 - E1, E2) NOT cleared. Account is disabled in AD (11/25/2025, 05/15/2026 and 10/10/2026), yet its Cisco Network Administrators / ISEAdmin access was approved again in 2026 Q2 (7/27/2026, 8/17/2026). IAMS termination 12/31/2024. No revocation raised.</t>
  </si>
  <si>
    <t xml:space="preserve">MIA25104</t>
  </si>
  <si>
    <t xml:space="preserve">Jefferson Paez Venegas</t>
  </si>
  <si>
    <t xml:space="preserve">Approved - 3 rows - Borges, Dayam 7/27/26, 12:45 PM (rows 89-91)</t>
  </si>
  <si>
    <t xml:space="preserve">Approved - 3 rows - Borges, Dayam 8/17/26, 9:23 AM (rows 422-424)</t>
  </si>
  <si>
    <t xml:space="preserve">Alero_Consultant_MIA25104; CISCO NETWORK ADMINISTRATORS; CYBERARK_ALERO_USERS; ISEADMIN; CyberArk Owner cert: 12 safe rows for its Alero safe (Heredia, Evelio Alejandro, 8/27/26)</t>
  </si>
  <si>
    <t xml:space="preserve">Enabled 11/25/2025 and 05/15/2026</t>
  </si>
  <si>
    <t xml:space="preserve">True (Oct10_2026Users row 1596)</t>
  </si>
  <si>
    <t xml:space="preserve">C7.Sample.xlsx: SAMPLE tab screenshots; 2026Q2PamBsiSox-Manager; 2026Q2BsiPamCyberark-Manager; Oct10_2026Users row 1596; Screenshot tab (Get-ADUser export command).</t>
  </si>
  <si>
    <t xml:space="preserve">Exception (A5 - E2) NOT cleared. Access was approved, not revoked, so there is no removal or SLA to test. IAMS still shows termination 12/31/2024 in 2026 Q2 and the access was re-approved.</t>
  </si>
  <si>
    <t xml:space="preserve">MIA25105</t>
  </si>
  <si>
    <t xml:space="preserve">David Serrano Aguirre</t>
  </si>
  <si>
    <t xml:space="preserve">Approved - 3 rows - Borges, Dayam 7/27/26, 12:45 PM (rows 92-94)</t>
  </si>
  <si>
    <t xml:space="preserve">Approved - 3 rows - Borges, Dayam 8/17/26, 9:23 AM (rows 425-427)</t>
  </si>
  <si>
    <t xml:space="preserve">Alero_Consultant_MIA25105; CISCO NETWORK ADMINISTRATORS; CYBERARK_ALERO_USERS; ISEADMIN; CyberArk Owner cert: 12 safe rows for its Alero safe (Heredia, Evelio Alejandro, 8/27/26)</t>
  </si>
  <si>
    <t xml:space="preserve">True (Oct10_2026Users row 1599)</t>
  </si>
  <si>
    <t xml:space="preserve">C7.Sample.xlsx: SAMPLE tab screenshots; 2026Q2PamBsiSox-Manager; 2026Q2BsiPamCyberark-Manager; Oct10_2026Users row 1599; Screenshot tab (Get-ADUser export command).</t>
  </si>
  <si>
    <t xml:space="preserve">MIA25106</t>
  </si>
  <si>
    <t xml:space="preserve">Maiko Vazquez Arias</t>
  </si>
  <si>
    <t xml:space="preserve">Approved - 3 rows - Borges, Dayam 7/27/26, 12:45 PM (rows 95-97)</t>
  </si>
  <si>
    <t xml:space="preserve">Approved - 3 rows - Borges, Dayam 8/17/26, 9:23 AM (rows 428-430)</t>
  </si>
  <si>
    <t xml:space="preserve">Alero_Consultant_MIA25106; CISCO NETWORK ADMINISTRATORS; CYBERARK_ALERO_USERS; ISEADMIN; CyberArk Owner cert: 12 safe rows for its Alero safe (Heredia, Evelio Alejandro, 8/27/26)</t>
  </si>
  <si>
    <t xml:space="preserve">True (Oct10_2026Users row 1597)</t>
  </si>
  <si>
    <t xml:space="preserve">C7.Sample.xlsx: SAMPLE tab screenshots; 2026Q2PamBsiSox-Manager; 2026Q2BsiPamCyberark-Manager; Oct10_2026Users row 1597; Screenshot tab (Get-ADUser export command).</t>
  </si>
  <si>
    <t xml:space="preserve">MIA25249</t>
  </si>
  <si>
    <t xml:space="preserve">Richard Harris</t>
  </si>
  <si>
    <t xml:space="preserve">Approved - 3 rows - Borges, Dayam 7/27/26, 12:45 PM (rows 104-106)</t>
  </si>
  <si>
    <t xml:space="preserve">Approved - 3 rows - Borges, Dayam 8/17/26, 9:23 AM (rows 437-439)</t>
  </si>
  <si>
    <t xml:space="preserve">Alero_Consultant_MIA25249; CISCO NETWORK ADMINISTRATORS; CYBERARK_ALERO_USERS; ISEADMIN; CyberArk Owner cert: 12 safe rows for its Alero safe (Heredia, Evelio Alejandro, 8/27/26)</t>
  </si>
  <si>
    <t xml:space="preserve">Enabled 11/25/2025; DISABLED 05/15/2026 (changed 04/02/2026)</t>
  </si>
  <si>
    <t xml:space="preserve">True (Oct10_2026Users row 1787)</t>
  </si>
  <si>
    <t xml:space="preserve">C7.Sample.xlsx: SAMPLE tab screenshots; 2026Q2PamBsiSox-Manager; 2026Q2BsiPamCyberark-Manager; Oct10_2026Users row 1787; Screenshot tab (Get-ADUser export command).</t>
  </si>
  <si>
    <t xml:space="preserve">Exception (A5 - E2) NOT cleared. Access was approved, not revoked, so there is no removal or SLA to test. IAMS still shows termination 12/31/2024 in 2026 Q2 and the access was re-approved. AD shows the account disabled on 05/15/2026 and ENABLED again on 10/10/2026 - re-enable not explained or evidenced.</t>
  </si>
  <si>
    <t xml:space="preserve">MIA25250</t>
  </si>
  <si>
    <t xml:space="preserve">Kevin Ackley</t>
  </si>
  <si>
    <t xml:space="preserve">Approved - 3 rows - Borges, Dayam 7/27/26, 12:45 PM (rows 101-103)</t>
  </si>
  <si>
    <t xml:space="preserve">Approved - 3 rows - Borges, Dayam 8/17/26, 9:23 AM (rows 434-436)</t>
  </si>
  <si>
    <t xml:space="preserve">Alero_Protect-MIA25250; CISCO NETWORK ADMINISTRATORS; CYBERARK_ALERO_USERS; ISEADMIN; CyberArk Owner cert: 12 safe rows for its Alero safe (Heredia, Evelio Alejandro, 8/27/26)</t>
  </si>
  <si>
    <t xml:space="preserve">Enabled 11/25/2025; DISABLED 05/15/2026 (changed 04/03/2026)</t>
  </si>
  <si>
    <t xml:space="preserve">True (Oct10_2026Users row 1785)</t>
  </si>
  <si>
    <t xml:space="preserve">C7.Sample.xlsx: SAMPLE tab screenshots; 2026Q2PamBsiSox-Manager; 2026Q2BsiPamCyberark-Manager; Oct10_2026Users row 1785; Screenshot tab (Get-ADUser export command).</t>
  </si>
  <si>
    <t xml:space="preserve">Exception (A5 - E2) NOT cleared. Access was approved, not revoked, so there is no removal or SLA to test. IAMS still shows termination 12/31/2024 in 2026 Q2 and the access was re-approved. AD shows the account disabled on 05/15/2026 and ENABLED again on 10/10/2026 - re-enable not explained or evidenced. AD employeeID / employeeNumber blank on 10/10/2026; the SAMPLE tab hard-codes identity 100592068 instead of the VLOOKUP used for the other rows (A7 observation).</t>
  </si>
  <si>
    <t xml:space="preserve">Blue text = dates taken from the prior-period evidence (BSI.IT.27.C7.05 Testing Walkthrough tabs 4 / 5: 2025 Q3 SailPoint decision 08/28/2025 and Netwrix removal 09/02/2025 or 09/08/2025). They are NOT in C7.Sample.xlsx; they are restated so the SLA can be recalculated.</t>
  </si>
  <si>
    <t xml:space="preserve">Columns H-J are formulas: NETWORKDAYS / WORKDAY over the US bank holidays on the Holidays tab; SLA = 30 business days (IAM Standard v10.0 SUS.IAMS.4.2.5.21).</t>
  </si>
  <si>
    <t xml:space="preserve">Columns L-Q come from C7.Sample.xlsx (2026 Q2 PAM BSI SOX Manager certification launched 7/22/2026; 2026 Q2 PAM BSI CyberArk Manager certification launched 8/13/2026; AD user export Oct10_2026Users).</t>
  </si>
  <si>
    <t xml:space="preserve">Account Status = "Account Removed" appears on every row of all four 2026 Q2 exports (4,889 rows, including the 4,883 Approved rows), so it cannot be used as evidence of removal.</t>
  </si>
  <si>
    <t xml:space="preserve">Result counts</t>
  </si>
  <si>
    <t xml:space="preserve">Accounts tested</t>
  </si>
  <si>
    <t xml:space="preserve">A6 revocations removed within SLA (2025 Q3)</t>
  </si>
  <si>
    <t xml:space="preserve">A6 removals sustained</t>
  </si>
  <si>
    <t xml:space="preserve">Accounts with an exception not cleared</t>
  </si>
  <si>
    <t xml:space="preserve">Every 2026 Q2 certification row for the 10 sample accounts (account-holder rows, SOX Manager and CyberArk Manager certifications)</t>
  </si>
  <si>
    <t xml:space="preserve">Source tab (C7.Sample.xlsx)</t>
  </si>
  <si>
    <t xml:space="preserve">Source row</t>
  </si>
  <si>
    <t xml:space="preserve">Identity</t>
  </si>
  <si>
    <t xml:space="preserve">Identity DisplayName</t>
  </si>
  <si>
    <t xml:space="preserve">Entitlement Value</t>
  </si>
  <si>
    <t xml:space="preserve">Decision</t>
  </si>
  <si>
    <t xml:space="preserve">Revoke Completed</t>
  </si>
  <si>
    <t xml:space="preserve">Decision Maker</t>
  </si>
  <si>
    <t xml:space="preserve">Decision Date</t>
  </si>
  <si>
    <t xml:space="preserve">SignOff Date</t>
  </si>
  <si>
    <t xml:space="preserve">Termination Date (IAMS)</t>
  </si>
  <si>
    <t xml:space="preserve">Identity Inactive</t>
  </si>
  <si>
    <t xml:space="preserve">Account Status</t>
  </si>
  <si>
    <t xml:space="preserve">WorkItemID</t>
  </si>
  <si>
    <t xml:space="preserve">AD enabled 10/10/2026</t>
  </si>
  <si>
    <t xml:space="preserve">Self-review?</t>
  </si>
  <si>
    <t xml:space="preserve">Assessment</t>
  </si>
  <si>
    <t xml:space="preserve">2026Q2BsiPamCyberark-Manager</t>
  </si>
  <si>
    <t xml:space="preserve">Nieves Nieves, Miguel</t>
  </si>
  <si>
    <t xml:space="preserve">MIA25142 Nieves Nieves,Miguelhas privileged access to CyberArk safe: Alero_Consultant_MIA25142</t>
  </si>
  <si>
    <t xml:space="preserve">Approved</t>
  </si>
  <si>
    <t xml:space="preserve">Borges, Dayam</t>
  </si>
  <si>
    <t xml:space="preserve">8/17/26, 9:23 AM</t>
  </si>
  <si>
    <t xml:space="preserve">Account Removed</t>
  </si>
  <si>
    <t xml:space="preserve">No</t>
  </si>
  <si>
    <t xml:space="preserve">Exception: Approved although IAMS Termination Date 2024-12-31 (E2)</t>
  </si>
  <si>
    <t xml:space="preserve">MIA25142 Nieves Nieves,Miguel has privileged access to CyberArk safe: Network_Devices_Accounts via AD Group:Cisco Network Administrators</t>
  </si>
  <si>
    <t xml:space="preserve">Exception: Approved although IAMS Termination Date 2024-12-31 (E2); Access revoked 08/28/2025 is still held and approved again (E3 - removal not sustained)</t>
  </si>
  <si>
    <t xml:space="preserve">MIA25142 Nieves Nieves,Miguel has privileged access to CyberArk safe: Network_Devices_Accounts via AD Group:ISEAdmin</t>
  </si>
  <si>
    <t xml:space="preserve">2026Q2PamBsiSox-Manager</t>
  </si>
  <si>
    <t xml:space="preserve">MIA25142 HAS PRIVILEGED ACCESS TO SOX APPLICATIONS VIA THE MIA.USA.SINVEST ENTERPRISE WIDE DOMAIN GROUP CYBERARK_ALERO_USERS</t>
  </si>
  <si>
    <t xml:space="preserve">7/27/26, 12:45 PM</t>
  </si>
  <si>
    <t xml:space="preserve">MIA25142 HAS PRIVILEGED ACCESS TO SOX APPLICATIONS VIA THE MIA.USA.SINVEST ENTERPRISE WIDE DOMAIN GROUP CISCO NETWORK ADMINISTRATORS</t>
  </si>
  <si>
    <t xml:space="preserve">MIA25142 HAS PRIVILEGED ACCESS TO SOX APPLICATIONS VIA THE MIA.USA.SINVEST ENTERPRISE WIDE DOMAIN GROUP ISEADMIN</t>
  </si>
  <si>
    <t xml:space="preserve">Hernandez Ruiz, Juan</t>
  </si>
  <si>
    <t xml:space="preserve">MIA25172 Hernandez Ruiz,Juan has privileged access to CyberArk safe: Network_Devices_Accounts via AD Group:Cisco Network Administrators</t>
  </si>
  <si>
    <t xml:space="preserve">Exception: Access revoked 08/28/2025 is still held and approved again (E3 - removal not sustained)</t>
  </si>
  <si>
    <t xml:space="preserve">MIA25172 Hernandez Ruiz,Juan has privileged access to CyberArk safe: Network_Devices_Accounts via AD Group:ISEAdmin</t>
  </si>
  <si>
    <t xml:space="preserve">Approved - no exception noted for this entitlement</t>
  </si>
  <si>
    <t xml:space="preserve">MIA25172 HAS PRIVILEGED ACCESS TO SOX APPLICATIONS VIA THE MIA.USA.SINVEST ENTERPRISE WIDE DOMAIN GROUP CYBERARK_ALERO_USERS</t>
  </si>
  <si>
    <t xml:space="preserve">MIA25172 HAS PRIVILEGED ACCESS TO SOX APPLICATIONS VIA THE MIA.USA.SINVEST ENTERPRISE WIDE DOMAIN GROUP CISCO NETWORK ADMINISTRATORS</t>
  </si>
  <si>
    <t xml:space="preserve">MIA25172 HAS PRIVILEGED ACCESS TO SOX APPLICATIONS VIA THE MIA.USA.SINVEST ENTERPRISE WIDE DOMAIN GROUP ISEADMIN</t>
  </si>
  <si>
    <t xml:space="preserve">Hernandez Acevedo, Carlos</t>
  </si>
  <si>
    <t xml:space="preserve">MIA25175 Hernandez Acevedo,Carlos has privileged access to CyberArk safe: Network_Devices_Accounts via AD Group:Cisco Network Administrators</t>
  </si>
  <si>
    <t xml:space="preserve">MIA25175 Hernandez Acevedo,Carlos has privileged access to CyberArk safe: Network_Devices_Accounts via AD Group:ISEAdmin</t>
  </si>
  <si>
    <t xml:space="preserve">MIA25175 Hernandez Acevedo,Carloshas privileged access to CyberArk safe: Alero_Consultant_MIA25175</t>
  </si>
  <si>
    <t xml:space="preserve">MIA25175 HAS PRIVILEGED ACCESS TO SOX APPLICATIONS VIA THE MIA.USA.SINVEST ENTERPRISE WIDE DOMAIN GROUP CYBERARK_ALERO_USERS</t>
  </si>
  <si>
    <t xml:space="preserve">MIA25175 HAS PRIVILEGED ACCESS TO SOX APPLICATIONS VIA THE MIA.USA.SINVEST ENTERPRISE WIDE DOMAIN GROUP CISCO NETWORK ADMINISTRATORS</t>
  </si>
  <si>
    <t xml:space="preserve">MIA25175 HAS PRIVILEGED ACCESS TO SOX APPLICATIONS VIA THE MIA.USA.SINVEST ENTERPRISE WIDE DOMAIN GROUP ISEADMIN</t>
  </si>
  <si>
    <t xml:space="preserve">Perez Peralta, Juan Fernando</t>
  </si>
  <si>
    <t xml:space="preserve">x453396 Perez Peralta,Juan Fernandohas privileged access to CyberArk safe: Alero_Protect-x453396</t>
  </si>
  <si>
    <t xml:space="preserve">x453396 Perez Peralta,Juan Fernando has privileged access to CyberArk safe: Network_Devices_Accounts via AD Group:Cisco Network Administrators</t>
  </si>
  <si>
    <t xml:space="preserve">x453396 Perez Peralta,Juan Fernando has privileged access to CyberArk safe: Network_Devices_Accounts via AD Group:ISEAdmin</t>
  </si>
  <si>
    <t xml:space="preserve">X453396 HAS PRIVILEGED ACCESS TO SOX APPLICATIONS VIA THE MIA.USA.SINVEST ENTERPRISE WIDE DOMAIN GROUP CYBERARK_ALERO_USERS</t>
  </si>
  <si>
    <t xml:space="preserve">X453396 HAS PRIVILEGED ACCESS TO SOX APPLICATIONS VIA THE MIA.USA.SINVEST ENTERPRISE WIDE DOMAIN GROUP CISCO NETWORK ADMINISTRATORS</t>
  </si>
  <si>
    <t xml:space="preserve">X453396 HAS PRIVILEGED ACCESS TO SOX APPLICATIONS VIA THE MIA.USA.SINVEST ENTERPRISE WIDE DOMAIN GROUP ISEADMIN</t>
  </si>
  <si>
    <t xml:space="preserve">Ramirez Gonzalez, Ivan</t>
  </si>
  <si>
    <t xml:space="preserve">MIA25103 Ivan Ramirez Gonzalez has privileged access to CyberArk safe: Network_Devices_Accounts via AD Group:Cisco Network Administrators</t>
  </si>
  <si>
    <t xml:space="preserve">Exception: Approved although IAMS Termination Date 2024-12-31 (E2); Approved although AD account disabled (E1)</t>
  </si>
  <si>
    <t xml:space="preserve">MIA25103 Ivan Ramirez Gonzalez has privileged access to CyberArk safe: Network_Devices_Accounts via AD Group:ISEAdmin</t>
  </si>
  <si>
    <t xml:space="preserve">MIA25103 Ivan Ramirez Gonzalezhas privileged access to CyberArk safe: Alero_Consultant_MIA25103</t>
  </si>
  <si>
    <t xml:space="preserve">MIA25103 HAS PRIVILEGED ACCESS TO SOX APPLICATIONS VIA THE MIA.USA.SINVEST ENTERPRISE WIDE DOMAIN GROUP CYBERARK_ALERO_USERS</t>
  </si>
  <si>
    <t xml:space="preserve">MIA25103 HAS PRIVILEGED ACCESS TO SOX APPLICATIONS VIA THE MIA.USA.SINVEST ENTERPRISE WIDE DOMAIN GROUP CISCO NETWORK ADMINISTRATORS</t>
  </si>
  <si>
    <t xml:space="preserve">MIA25103 HAS PRIVILEGED ACCESS TO SOX APPLICATIONS VIA THE MIA.USA.SINVEST ENTERPRISE WIDE DOMAIN GROUP ISEADMIN</t>
  </si>
  <si>
    <t xml:space="preserve">Paez Venegas, Jefferson</t>
  </si>
  <si>
    <t xml:space="preserve">MIA25104 Paez Venegas,Jeffersonhas privileged access to CyberArk safe: Alero_Consultant_MIA25104</t>
  </si>
  <si>
    <t xml:space="preserve">MIA25104 Paez Venegas,Jefferson has privileged access to CyberArk safe: Network_Devices_Accounts via AD Group:Cisco Network Administrators</t>
  </si>
  <si>
    <t xml:space="preserve">MIA25104 Paez Venegas,Jefferson has privileged access to CyberArk safe: Network_Devices_Accounts via AD Group:ISEAdmin</t>
  </si>
  <si>
    <t xml:space="preserve">MIA25104 HAS PRIVILEGED ACCESS TO SOX APPLICATIONS VIA THE MIA.USA.SINVEST ENTERPRISE WIDE DOMAIN GROUP CYBERARK_ALERO_USERS</t>
  </si>
  <si>
    <t xml:space="preserve">MIA25104 HAS PRIVILEGED ACCESS TO SOX APPLICATIONS VIA THE MIA.USA.SINVEST ENTERPRISE WIDE DOMAIN GROUP CISCO NETWORK ADMINISTRATORS</t>
  </si>
  <si>
    <t xml:space="preserve">MIA25104 HAS PRIVILEGED ACCESS TO SOX APPLICATIONS VIA THE MIA.USA.SINVEST ENTERPRISE WIDE DOMAIN GROUP ISEADMIN</t>
  </si>
  <si>
    <t xml:space="preserve">Serrano Aguirre, David</t>
  </si>
  <si>
    <t xml:space="preserve">MIA25105 Serrano Aguirre,Davidhas privileged access to CyberArk safe: Alero_Consultant_MIA25105</t>
  </si>
  <si>
    <t xml:space="preserve">MIA25105 Serrano Aguirre,David has privileged access to CyberArk safe: Network_Devices_Accounts via AD Group:Cisco Network Administrators</t>
  </si>
  <si>
    <t xml:space="preserve">MIA25105 Serrano Aguirre,David has privileged access to CyberArk safe: Network_Devices_Accounts via AD Group:ISEAdmin</t>
  </si>
  <si>
    <t xml:space="preserve">MIA25105 HAS PRIVILEGED ACCESS TO SOX APPLICATIONS VIA THE MIA.USA.SINVEST ENTERPRISE WIDE DOMAIN GROUP CYBERARK_ALERO_USERS</t>
  </si>
  <si>
    <t xml:space="preserve">MIA25105 HAS PRIVILEGED ACCESS TO SOX APPLICATIONS VIA THE MIA.USA.SINVEST ENTERPRISE WIDE DOMAIN GROUP CISCO NETWORK ADMINISTRATORS</t>
  </si>
  <si>
    <t xml:space="preserve">MIA25105 HAS PRIVILEGED ACCESS TO SOX APPLICATIONS VIA THE MIA.USA.SINVEST ENTERPRISE WIDE DOMAIN GROUP ISEADMIN</t>
  </si>
  <si>
    <t xml:space="preserve">Vazquez Arias, Maiko</t>
  </si>
  <si>
    <t xml:space="preserve">MIA25106 Vazquez Arias,Maikohas privileged access to CyberArk safe: Alero_Consultant_MIA25106</t>
  </si>
  <si>
    <t xml:space="preserve">MIA25106 Vazquez Arias,Maiko has privileged access to CyberArk safe: Network_Devices_Accounts via AD Group:Cisco Network Administrators</t>
  </si>
  <si>
    <t xml:space="preserve">MIA25106 Vazquez Arias,Maiko has privileged access to CyberArk safe: Network_Devices_Accounts via AD Group:ISEAdmin</t>
  </si>
  <si>
    <t xml:space="preserve">MIA25106 HAS PRIVILEGED ACCESS TO SOX APPLICATIONS VIA THE MIA.USA.SINVEST ENTERPRISE WIDE DOMAIN GROUP CYBERARK_ALERO_USERS</t>
  </si>
  <si>
    <t xml:space="preserve">MIA25106 HAS PRIVILEGED ACCESS TO SOX APPLICATIONS VIA THE MIA.USA.SINVEST ENTERPRISE WIDE DOMAIN GROUP CISCO NETWORK ADMINISTRATORS</t>
  </si>
  <si>
    <t xml:space="preserve">MIA25106 HAS PRIVILEGED ACCESS TO SOX APPLICATIONS VIA THE MIA.USA.SINVEST ENTERPRISE WIDE DOMAIN GROUP ISEADMIN</t>
  </si>
  <si>
    <t xml:space="preserve">Harris, Richard</t>
  </si>
  <si>
    <t xml:space="preserve">MIA25249 Harris,Richardhas privileged access to CyberArk safe: Alero_Consultant_MIA25249</t>
  </si>
  <si>
    <t xml:space="preserve">MIA25249 Harris,Richard has privileged access to CyberArk safe: Network_Devices_Accounts via AD Group:Cisco Network Administrators</t>
  </si>
  <si>
    <t xml:space="preserve">MIA25249 Harris,Richard has privileged access to CyberArk safe: Network_Devices_Accounts via AD Group:ISEAdmin</t>
  </si>
  <si>
    <t xml:space="preserve">MIA25249 HAS PRIVILEGED ACCESS TO SOX APPLICATIONS VIA THE MIA.USA.SINVEST ENTERPRISE WIDE DOMAIN GROUP CYBERARK_ALERO_USERS</t>
  </si>
  <si>
    <t xml:space="preserve">MIA25249 HAS PRIVILEGED ACCESS TO SOX APPLICATIONS VIA THE MIA.USA.SINVEST ENTERPRISE WIDE DOMAIN GROUP CISCO NETWORK ADMINISTRATORS</t>
  </si>
  <si>
    <t xml:space="preserve">MIA25249 HAS PRIVILEGED ACCESS TO SOX APPLICATIONS VIA THE MIA.USA.SINVEST ENTERPRISE WIDE DOMAIN GROUP ISEADMIN</t>
  </si>
  <si>
    <t xml:space="preserve">Ackley, Kevin</t>
  </si>
  <si>
    <t xml:space="preserve">MIA25250 Ackley, Kevin has privileged access to CyberArk safe: Network_Devices_Accounts via AD Group:Cisco Network Administrators</t>
  </si>
  <si>
    <t xml:space="preserve">MIA25250 Ackley, Kevin has privileged access to CyberArk safe: Network_Devices_Accounts via AD Group:ISEAdmin</t>
  </si>
  <si>
    <t xml:space="preserve">MIA25250 Ackley, Kevinhas privileged access to CyberArk safe: Alero_Protect-MIA25250</t>
  </si>
  <si>
    <t xml:space="preserve">MIA25250 HAS PRIVILEGED ACCESS TO SOX APPLICATIONS VIA THE MIA.USA.SINVEST ENTERPRISE WIDE DOMAIN GROUP CYBERARK_ALERO_USERS</t>
  </si>
  <si>
    <t xml:space="preserve">MIA25250 HAS PRIVILEGED ACCESS TO SOX APPLICATIONS VIA THE MIA.USA.SINVEST ENTERPRISE WIDE DOMAIN GROUP CISCO NETWORK ADMINISTRATORS</t>
  </si>
  <si>
    <t xml:space="preserve">MIA25250 HAS PRIVILEGED ACCESS TO SOX APPLICATIONS VIA THE MIA.USA.SINVEST ENTERPRISE WIDE DOMAIN GROUP ISEADMIN</t>
  </si>
  <si>
    <t xml:space="preserve">Step-by-step test procedure (9 steps) applied to the management response C7.Sample.xlsx</t>
  </si>
  <si>
    <t xml:space="preserve">Step</t>
  </si>
  <si>
    <t xml:space="preserve">Procedure</t>
  </si>
  <si>
    <t xml:space="preserve">Source (C7.Sample.xlsx tab / field)</t>
  </si>
  <si>
    <t xml:space="preserve">What was done</t>
  </si>
  <si>
    <t xml:space="preserve">Result obtained</t>
  </si>
  <si>
    <t xml:space="preserve">Step result</t>
  </si>
  <si>
    <t xml:space="preserve">1</t>
  </si>
  <si>
    <t xml:space="preserve">STEP 1 - OBTAIN EVIDENCE</t>
  </si>
  <si>
    <t xml:space="preserve">All tabs; Screenshot tab</t>
  </si>
  <si>
    <t xml:space="preserve">Inventoried the response to the 10-account request: certification exports, AD extract, screenshots.</t>
  </si>
  <si>
    <t xml:space="preserve">Received: 2026 Q2 PAM BSI SOX Manager (188 rows, launched 7/22/2026) and SOX Entitlement Owner (336 rows, 7/23/2026); 2026 Q2 PAM BSI CyberArk Manager (680 rows, 8/13/2026) and CyberArk Entitlement Owner (3,685 rows, 8/14/2026); AD user export Oct10_2026Users (2,543 accounts); 20 SAMPLE-tab screenshots of the filtered certification rows; screenshot of the Get-ADUser command. NOT received: Netwrix logs, AD audit logs, ServiceNow tickets, removal dates, group-membership extract, re-grant access requests, HR / contract evidence. The 2026 Q2 campaigns were launched after the period end (06/30/2026) and are subsequent-period evidence.</t>
  </si>
  <si>
    <t xml:space="preserve">Observation - response incomplete</t>
  </si>
  <si>
    <t xml:space="preserve">2</t>
  </si>
  <si>
    <t xml:space="preserve">STEP 2 - VALIDATE REPORT COMPLETENESS AND ACCURACY</t>
  </si>
  <si>
    <t xml:space="preserve">Oct10_2026Users; Screenshot tab; certification exports</t>
  </si>
  <si>
    <t xml:space="preserve">Tried to reconcile the certified network-group memberships to AD and checked the report generation evidence.</t>
  </si>
  <si>
    <t xml:space="preserve">Cannot be performed: the AD export has user attributes only (name, sAMAccountName, enabled, UPN, employeeID, employeeNumber) - no group membership, whenChanged or account expiration - so certified memberships cannot be reconciled to Cisco Network Administrators / ISEAdmin / CISCO ISE Administrators / F5FullAdmin. Report reliability observations: (a) the export is named Oct10_2026 but the command screenshot is time-stamped 10/13/2026 11:04 AM - the link between the screenshot and the file is not shown; (b) MIA25250 has blank employeeID / employeeNumber, and the SAMPLE tab hard-codes 100592068 instead of the VLOOKUP; (c) Account Status = "Account Removed" on every row, including approved access; (d) 1 AD row has a blank enabled value; (e) MIA25172 and MIA25175 are uncorrelated - Identity = account name (not employee number 100546248 / 100546251) in both 2026 Q2 Manager certifications, so IAMS status is not evaluated for them; (f) SOX = No on every sample row, including the SOX Manager certification.</t>
  </si>
  <si>
    <t xml:space="preserve">Observation (A7)</t>
  </si>
  <si>
    <t xml:space="preserve">3</t>
  </si>
  <si>
    <t xml:space="preserve">STEP 3 - VALIDATE POPULATION AND SCOPE</t>
  </si>
  <si>
    <t xml:space="preserve">2026Q2PamBsiSox-Manager / -Owner, Entitlement Value</t>
  </si>
  <si>
    <t xml:space="preserve">Parsed the 4 in-scope network groups (PAM Definition of Privilege sec. 3.3) from Entitlement Value.</t>
  </si>
  <si>
    <t xml:space="preserve">2026 Q2 SOX certifications: 58 in-scope memberships (Manager 48 - Cisco Net Admins 23, ISEAdmin 22, F5FullAdmin 2, CISCO ISE Admins 1; Owner 10). All 10 sample accounts are in the population (Cisco Network Administrators, ISEAdmin, CYBERARK_ALERO_USERS). Completeness against AD cannot be concluded (see step 2).</t>
  </si>
  <si>
    <t xml:space="preserve">Partial - completeness not evidenced</t>
  </si>
  <si>
    <t xml:space="preserve">4</t>
  </si>
  <si>
    <t xml:space="preserve">STEP 4 - VERIFY CONTROL EXECUTION</t>
  </si>
  <si>
    <t xml:space="preserve">Certification Name, Decision Maker, Decision / SignOff Date</t>
  </si>
  <si>
    <t xml:space="preserve">For the 10 accounts: initiation, reviewer, decision, revocations identified.</t>
  </si>
  <si>
    <t xml:space="preserve">Initiation: 2026 Q2 SOX campaign launched 7/22/2026, CyberArk 8/13/2026 (SanIAM / SailPoint). Reviewer: line manager Borges, Dayam (SOX 7/27/2026 12:45 PM; CyberArk 8/17/2026 9:23 AM); Alero safes by owner Heredia, Evelio Alejandro (8/27/2026); no self-review. Decisions: 59 / 59 account-holder rows Approved and signed off. Revocations identified: none for the 10 accounts. Inappropriate access approved: 7 identities with IAMS Termination Date 12/31/2024 (MIA25103-06, MIA25142, MIA25249, MIA25250); MIA25103 disabled in AD; 4 accounts whose 2025 Q3 revocation was reversed (MIA25142, MIA25172, MIA25175, X453396). Population-wide in the 2026 Q2 SOX Manager cert: 8 network-group members disabled in AD on 10/10/2026 still Approved (MIA20037, MIA25103, X533062, X688027, X689040, X689379, X690623, X690995).</t>
  </si>
  <si>
    <t xml:space="preserve">Fail (A5)</t>
  </si>
  <si>
    <t xml:space="preserve">5</t>
  </si>
  <si>
    <t xml:space="preserve">STEP 5 - VALIDATE CONTROL RESULTS</t>
  </si>
  <si>
    <t xml:space="preserve">1_Response Summary cols F-J, R</t>
  </si>
  <si>
    <t xml:space="preserve">For the 4 A6 accounts: decision date, removal date, SLA, persistence.</t>
  </si>
  <si>
    <t xml:space="preserve">Decision 08/28/2025 (2025 Q3 Revoked). Removal 09/02/2025 (MIA25142, MIA25172) and 09/08/2025 (MIA25175, X453396) per the prior Netwrix logs = 2 and 6 business days, within the SLA deadline of 10/10/2025. Persistence: NOT sustained - the sample file shows all 4 still holding Cisco Network Administrators / ISEAdmin and approved again in 2026 Q2. The response provides no removal date, Netwrix log or ticket. The 6 supplemental accounts were never revoked, so no SLA applies.</t>
  </si>
  <si>
    <t xml:space="preserve">Fail (A6 - persistence)</t>
  </si>
  <si>
    <t xml:space="preserve">6</t>
  </si>
  <si>
    <t xml:space="preserve">STEP 6 - VERIFY EXCEPTION HANDLING</t>
  </si>
  <si>
    <t xml:space="preserve">All tabs; WorkItemID / WorkItemComment</t>
  </si>
  <si>
    <t xml:space="preserve">Looked for exception records, comments or tickets for the 10 accounts.</t>
  </si>
  <si>
    <t xml:space="preserve">WorkItemID / WorkItemComment are blank for all 59 rows; no exception record, risk acceptance or comment. The response does not explain the re-grants or the approvals of terminated / disabled identities.</t>
  </si>
  <si>
    <t xml:space="preserve">Fail (not evidenced)</t>
  </si>
  <si>
    <t xml:space="preserve">7</t>
  </si>
  <si>
    <t xml:space="preserve">STEP 7 - VERIFY ESCALATION AND REMEDIATION</t>
  </si>
  <si>
    <t xml:space="preserve">All tabs</t>
  </si>
  <si>
    <t xml:space="preserve">Looked for escalation, remediation owner, due date and tracking.</t>
  </si>
  <si>
    <t xml:space="preserve">None provided. The same exceptions found in 2025 Q3 and 2026 Q1 recur in 2026 Q2 (third consecutive review), so remediation is not evidenced. MIA25249 / MIA25250 went from disabled (05/15/2026) to enabled (10/10/2026) with no explanation.</t>
  </si>
  <si>
    <t xml:space="preserve">8</t>
  </si>
  <si>
    <t xml:space="preserve">STEP 8 - ASSESS RISK MITIGATION</t>
  </si>
  <si>
    <t xml:space="preserve">1_Response Summary; 2_Item Detail</t>
  </si>
  <si>
    <t xml:space="preserve">Does the review identify inappropriate access and drive timely, lasting revocation?</t>
  </si>
  <si>
    <t xml:space="preserve">No for the tested accounts. Reviews run and are signed off by the right reviewers, but the reviewer re-approves terminated, disabled and previously revoked privileged network access, and revocations are not sustained. Privileged network access for these 10 accounts remains in place as of the 2026 Q2 certifications.</t>
  </si>
  <si>
    <t xml:space="preserve">Fail - Needs Improvement</t>
  </si>
  <si>
    <t xml:space="preserve">9</t>
  </si>
  <si>
    <t xml:space="preserve">STEP 9 - SUMMARIZE TESTING COVERAGE</t>
  </si>
  <si>
    <t xml:space="preserve">This tab</t>
  </si>
  <si>
    <t xml:space="preserve">Coverage per attribute.</t>
  </si>
  <si>
    <t xml:space="preserve">Completeness &amp; accuracy: Observation (no group data). Scope: Partial. Initiation: Pass. Reviewer authorization: Pass. Certification execution: Pass. Revocation decisions / appropriateness: Fail. Timeliness of removal: Pass (2025 Q3, 2 and 6 business days). Persistence: Fail. Exception management: Fail. Escalation: Fail. Risk mitigation: Fail. The response does not clear any of the 10 exceptions; the prior conclusion (Needs Improvement) stands.</t>
  </si>
  <si>
    <t xml:space="preserve">Evidence still needed after the C7.Sample.xlsx response</t>
  </si>
  <si>
    <t xml:space="preserve">Account(s)</t>
  </si>
  <si>
    <t xml:space="preserve">Request</t>
  </si>
  <si>
    <t xml:space="preserve">Why it is needed</t>
  </si>
  <si>
    <t xml:space="preserve">Owner</t>
  </si>
  <si>
    <t xml:space="preserve">Status</t>
  </si>
  <si>
    <t xml:space="preserve">MIA25142, MIA25172, MIA25175, X453396</t>
  </si>
  <si>
    <t xml:space="preserve">Netwrix "member removed" events for the 2025 Q3 revocations (09/02/2025, 09/08/2025) and the "member added" events that put the accounts back in Cisco Network Administrators / ISEAdmin, with date and actor.</t>
  </si>
  <si>
    <t xml:space="preserve">Only system evidence that dates the removal and the re-grant.</t>
  </si>
  <si>
    <t xml:space="preserve">InfoSec (Netwrix)</t>
  </si>
  <si>
    <t xml:space="preserve">Pending</t>
  </si>
  <si>
    <t xml:space="preserve">Approved ServiceNow access request (manager + group owner) for each re-grant, or confirmation that none exists.</t>
  </si>
  <si>
    <t xml:space="preserve">Only evidence that can clear E3.</t>
  </si>
  <si>
    <t xml:space="preserve">PAM / IAM</t>
  </si>
  <si>
    <t xml:space="preserve">All 10</t>
  </si>
  <si>
    <t xml:space="preserve">Get-ADGroupMember export of Cisco Network Administrators, ISEAdmin, CISCO ISE Administrators, F5FullAdmin and CYBERARK_ALERO_USERS, with the command screenshot (date / time visible), plus whenChanged and accountExpires for the 10 accounts.</t>
  </si>
  <si>
    <t xml:space="preserve">The 10/10/2026 user export has no group or change data, so it cannot show whether access was removed or stayed removed.</t>
  </si>
  <si>
    <t xml:space="preserve">IT Ops / InfoSec</t>
  </si>
  <si>
    <t xml:space="preserve">MIA25103-06, MIA25142, MIA25249, MIA25250</t>
  </si>
  <si>
    <t xml:space="preserve">HR / vendor contract dates and the reason IAMS still shows Termination Date 12/31/2024; reviewer rationale for approving these identities on 7/27/2026 and 8/17/2026.</t>
  </si>
  <si>
    <t xml:space="preserve">Decides whether E2 is a real exception or an IAMS data-quality observation.</t>
  </si>
  <si>
    <t xml:space="preserve">HR / IAM / Control owner</t>
  </si>
  <si>
    <t xml:space="preserve">Why a disabled AD account keeps (and is re-approved for) privileged network group membership; removal ticket.</t>
  </si>
  <si>
    <t xml:space="preserve">E1 - disabled account approved in three reviews.</t>
  </si>
  <si>
    <t xml:space="preserve">MIA25249, MIA25250</t>
  </si>
  <si>
    <t xml:space="preserve">AD audit / Netwrix event and approved request for the re-enable between 05/15/2026 (disabled) and 10/10/2026 (enabled).</t>
  </si>
  <si>
    <t xml:space="preserve">Unexplained re-enable of accounts with privileged network access.</t>
  </si>
  <si>
    <t xml:space="preserve">Explain the blank employeeID / employeeNumber in AD and the hard-coded identity 100592068 in the SAMPLE tab.</t>
  </si>
  <si>
    <t xml:space="preserve">Identity correlation between AD and SanIAM (A7).</t>
  </si>
  <si>
    <t xml:space="preserve">IAM</t>
  </si>
  <si>
    <t xml:space="preserve">Exception / issue record, escalation, remediation owner and due date (ServiceNow or GRC).</t>
  </si>
  <si>
    <t xml:space="preserve">Steps 6-7 cannot pass without it.</t>
  </si>
  <si>
    <t xml:space="preserve">Control owner</t>
  </si>
  <si>
    <t xml:space="preserve">MIA25172, MIA25175</t>
  </si>
  <si>
    <t xml:space="preserve">Correlate both accounts to their SanIAM identity (AD employeeNumber 100546248 / 100546251). In both 2026 Q2 Manager certifications the Identity field holds the account name, so IAMS termination / inactive status cannot be checked.</t>
  </si>
  <si>
    <t xml:space="preserve">Uncorrelated accounts escape identity-based leaver controls (A7).</t>
  </si>
  <si>
    <t xml:space="preserve">All</t>
  </si>
  <si>
    <t xml:space="preserve">Explain why Account Status = "Account Removed" on every row of the certification exports.</t>
  </si>
  <si>
    <t xml:space="preserve">Field cannot be relied on (A7).</t>
  </si>
  <si>
    <t xml:space="preserve">Draft follow-up to the control owner</t>
  </si>
  <si>
    <t xml:space="preserve">Hi Zoila,</t>
  </si>
  <si>
    <t xml:space="preserve">Thank you for sending C7.Sample.xlsx. We reviewed it against the request for the 10 sampled accounts. It contains the 2026 Q2 PAM BSI SOX and CyberArk certification exports, the 10/10/2026 AD user export and screenshots. It does not yet answer the A6 questions, and for all 10 accounts it shows the access still in place.</t>
  </si>
  <si>
    <t xml:space="preserve">What the file shows:</t>
  </si>
  <si>
    <t xml:space="preserve">- MIA25142, MIA25172, MIA25175, X453396: revoked on 08/28/2025 (2025 Q3) and removed on 09/02/2025 or 09/08/2025, within the 30-business-day SLA. However, all four still hold Cisco Network Administrators / ISEAdmin and were approved again in the 2026 Q2 SOX Manager certification (Borges, Dayam, 7/27/2026) and the CyberArk Manager certification (8/17/2026). The access did not stay removed, and the file has no removal date, Netwrix log or ticket for a later removal.</t>
  </si>
  <si>
    <t xml:space="preserve">- MIA25103, MIA25104, MIA25105, MIA25106, MIA25249, MIA25250: approved again in 2026 Q2. None of these accounts was revoked, so there is no removal date or SLA to test. IAMS still shows Termination Date 12/31/2024 for all six. MIA25103 is disabled in AD but still approved. MIA25249 and MIA25250 were disabled on 05/15/2026 and are enabled again on 10/10/2026.</t>
  </si>
  <si>
    <t xml:space="preserve">To complete the testing, please provide:</t>
  </si>
  <si>
    <t xml:space="preserve">1. Netwrix / AD audit events for the removal (09/02/2025, 09/08/2025) and for the re-addition of MIA25142, MIA25172, MIA25175 and X453396 to Cisco Network Administrators / ISEAdmin, with dates, plus the approved access request (ServiceNow) for each re-grant.</t>
  </si>
  <si>
    <t xml:space="preserve">2. A Get-ADGroupMember export of Cisco Network Administrators, ISEAdmin, CISCO ISE Administrators, F5FullAdmin and CYBERARK_ALERO_USERS, with the command screenshot showing date and time, plus whenChanged / accountExpires for the 10 accounts. The 10/10/2026 export has no group data, so it cannot show whether access was removed.</t>
  </si>
  <si>
    <t xml:space="preserve">3. HR or contract evidence for MIA25103-06, MIA25142, MIA25249 and MIA25250, given the IAMS termination date of 12/31/2024, and the reviewer's rationale for approving them.</t>
  </si>
  <si>
    <t xml:space="preserve">4. The reason, and approval, for MIA25103's disabled account keeping network admin access, and for the re-enable of MIA25249 / MIA25250.</t>
  </si>
  <si>
    <t xml:space="preserve">5. Any exception, escalation or remediation record (owner, due date, status) for these accounts.</t>
  </si>
  <si>
    <t xml:space="preserve">Two small items: MIA25250 has a blank employeeID in AD, and Account Status shows "Account Removed" on every row of the exports. Please explain both.</t>
  </si>
  <si>
    <t xml:space="preserve">Best regards,</t>
  </si>
  <si>
    <t xml:space="preserve">Edward Morfa</t>
  </si>
  <si>
    <t xml:space="preserve">Sources used</t>
  </si>
  <si>
    <t xml:space="preserve">File</t>
  </si>
  <si>
    <t xml:space="preserve">Tab</t>
  </si>
  <si>
    <t xml:space="preserve">Content</t>
  </si>
  <si>
    <t xml:space="preserve">Used for</t>
  </si>
  <si>
    <t xml:space="preserve">MD5</t>
  </si>
  <si>
    <t xml:space="preserve">C7.Sample.xlsx</t>
  </si>
  <si>
    <t xml:space="preserve">SAMPLE</t>
  </si>
  <si>
    <t xml:space="preserve">Sample list, VLOOKUP to AD employeeNumber, 20 screenshots of filtered SOX / CyberArk Manager rows</t>
  </si>
  <si>
    <t xml:space="preserve">Sample identification</t>
  </si>
  <si>
    <t xml:space="preserve">5338b068e48afaf6f3d7b185ac6cf12e</t>
  </si>
  <si>
    <t xml:space="preserve">2026 Q2 PAM BSI SOX Manager Certification [7/22/26] - 188 rows</t>
  </si>
  <si>
    <t xml:space="preserve">Decision / reviewer / dates</t>
  </si>
  <si>
    <t xml:space="preserve">2026Q2PamBsiSox-Owner</t>
  </si>
  <si>
    <t xml:space="preserve">2026 Q2 PAM BSI SOX Entitlement Owner Certification [7/23/26] - 336 rows</t>
  </si>
  <si>
    <t xml:space="preserve">Population / scope</t>
  </si>
  <si>
    <t xml:space="preserve">2026 Q2 PAM BSI CyberArk Manager Certification [8/13/26] - 680 rows</t>
  </si>
  <si>
    <t xml:space="preserve">2026Q2PamBsiCyberark-Owner</t>
  </si>
  <si>
    <t xml:space="preserve">2026 Q2 PAM BSI CyberArk Entitlement Owner Certification [8/14/26] - 3,685 rows</t>
  </si>
  <si>
    <t xml:space="preserve">Alero safe owner review</t>
  </si>
  <si>
    <t xml:space="preserve">Oct10_2026Users</t>
  </si>
  <si>
    <t xml:space="preserve">Get-ADUser export (2,543 accounts; enabled, UPN, employeeID / Number)</t>
  </si>
  <si>
    <t xml:space="preserve">AD account status</t>
  </si>
  <si>
    <t xml:space="preserve">Screenshot</t>
  </si>
  <si>
    <t xml:space="preserve">PowerShell ISE - Get-ADUser -Filter * export command, 10/13/2026 11:04 AM</t>
  </si>
  <si>
    <t xml:space="preserve">Report generation (A7)</t>
  </si>
  <si>
    <t xml:space="preserve">BSI.IT.27.C7.05 Testing Walkthrough - Step by Step.xlsx</t>
  </si>
  <si>
    <t xml:space="preserve">4_Item Detail, 5_Exceptions</t>
  </si>
  <si>
    <t xml:space="preserve">Prior testing: 2025 Q3 decisions 08/28/2025, Netwrix removals 09/02 / 09/08/2025, AD 11/25/2025 and 05/15/2026</t>
  </si>
  <si>
    <t xml:space="preserve">Decision and removal dates for A6; prior exceptions</t>
  </si>
  <si>
    <t xml:space="preserve">a6eee02a47888234ca2afd7662f0fd49</t>
  </si>
  <si>
    <t xml:space="preserve">CUSO Identity and Access Management Standard v11.0 (BSIIT21.PDF)</t>
  </si>
  <si>
    <t xml:space="preserve">sec. 4.2.4, 4.2.5, Appendix G</t>
  </si>
  <si>
    <t xml:space="preserve">Approved 07/28/2026; SUS.IAMS.4.2.4.2 / 4.2.4.3 leaver SLAs (1 / 30 business days from termination); 4.2.5.7 / 4.2.5.21 review revocation SLA (30 business days from close of review)</t>
  </si>
  <si>
    <t xml:space="preserve">Which SLA applies (tab 7)</t>
  </si>
  <si>
    <t xml:space="preserve">35484fd4951ac6439d9e4aee56437c38</t>
  </si>
  <si>
    <t xml:space="preserve">PAM_Recertification_Procedure_BSI_04.22.26.pdf</t>
  </si>
  <si>
    <t xml:space="preserve">sec. 3, 4.1.1, 8 step 9-10</t>
  </si>
  <si>
    <t xml:space="preserve">v2.0 approved 04/22/2026; revocation tickets for reject decisions or terminated users; process ends when manager approves</t>
  </si>
  <si>
    <t xml:space="preserve">9eaef168c42e8bd6bdd088432f6bf75a</t>
  </si>
  <si>
    <t xml:space="preserve">Sample step taken.docx</t>
  </si>
  <si>
    <t xml:space="preserve">Request to the control owner (A6 sample, 10 accounts)</t>
  </si>
  <si>
    <t xml:space="preserve">Request being answered</t>
  </si>
  <si>
    <t xml:space="preserve">478b98cad0b66e5989c71e3ee9f1bef3</t>
  </si>
  <si>
    <t xml:space="preserve">SLA re-performance for the 6 supplemental accounts, based on the IAM Standard and the PAM Recertification Procedure (responds to the process owner's challenge)</t>
  </si>
  <si>
    <t xml:space="preserve">A. Process owner's challenge</t>
  </si>
  <si>
    <t xml:space="preserve">"If the access is approved, what SLA is being measured? The SLA only starts if the access is revoked. Approved access has no action; only revoked access needs action. The workpaper says none of the 6 accounts was revoked, so the SLA clock never started, but then concludes 'No - SLA not met' using the first review after termination as the trigger date."</t>
  </si>
  <si>
    <t xml:space="preserve">B. Policy analysis - which SLA applies to the 6 accounts</t>
  </si>
  <si>
    <t xml:space="preserve">Question</t>
  </si>
  <si>
    <t xml:space="preserve">Policy text (exact)</t>
  </si>
  <si>
    <t xml:space="preserve">Reference</t>
  </si>
  <si>
    <t xml:space="preserve">Does the 30-business-day review SLA apply to access that was approved?</t>
  </si>
  <si>
    <t xml:space="preserve">"Any revocation of privileged access rights resulting from the privileged access review outcomes must be completed within 30 business days of the close of the review per the SLA." (4.2.5.21)
"Any revocations of access rights must be completed within 30 business days per the SLA." (4.2.5.7)
"When all assignees have completed their decisions, if the manager approves the user access, the process ends." (PAM step 9)</t>
  </si>
  <si>
    <t xml:space="preserve">CUSO Identity and Access Management Standard v11.0 (approved 07/28/2026) SUS.IAMS.4.2.5.21 (p.22), SUS.IAMS.4.2.5.7 (p.18); BSI PAM Recertification Procedure v2.0 (approved 04/22/2026) sec. 4.1.1 C3-C4 (p.6), sec. 8 step 9 (p.10)</t>
  </si>
  <si>
    <t xml:space="preserve">No. The 30-business-day clock starts at the close of the review and only for a revocation that results from the review outcome. All 6 accounts were Approved in every review, so no revocation was raised and no SLA clock started.</t>
  </si>
  <si>
    <t xml:space="preserve">Process owner is CORRECT. The prior "No - SLA not met (211 business days)" result is WITHDRAWN. A6 (revocation within SLA) = N/A for the 6 accounts.</t>
  </si>
  <si>
    <t xml:space="preserve">Did the procedure still require these accounts to be revoked at the review?</t>
  </si>
  <si>
    <t xml:space="preserve">"If access is revoked, the PAM team submits revocation tickets for any 'reject' decision or terminated users." (PAM step 9)
"The recertification process must be performed as a formal review of information assets to confirm that all granted access rights entitlements remain valid" (4.2.5.1)</t>
  </si>
  <si>
    <t xml:space="preserve">BSI PAM Recertification Procedure v2.0 (approved 04/22/2026) sec. 8 step 9 (p.10), sec. 3 PAM US Team; CUSO Identity and Access Management Standard v11.0 (approved 07/28/2026) SUS.IAMS.4.2.5.1 (p.14)</t>
  </si>
  <si>
    <t xml:space="preserve">Yes, if the identities were terminated. Step 9 names terminated users alongside reject decisions as a revocation trigger, and 4.2.5.1 requires the review to confirm access remains valid. IAMS shows Termination Date 12/31/2024 for all 6; the reviewer approved and PAM raised no revocation ticket in 2025 Q3, 2026 Q1 or 2026 Q2.</t>
  </si>
  <si>
    <t xml:space="preserve">Exception stands as A5 (appropriateness / control execution), NOT as an SLA (A6) failure: the review did not identify and revoke access of terminated identities.</t>
  </si>
  <si>
    <t xml:space="preserve">Is there an SLA for terminated users that does not depend on a Revoked decision?</t>
  </si>
  <si>
    <t xml:space="preserve">"Network Access for terminated users must be in line with the SLAs defined in the SLA matrix" (4.2.4.2) - Appendix G: disable AD access, 1 business day.
"Privileged access and control plane access for terminated users must be in line with the SLAs defined in the SLA matrix ... If ... the SLA is missed, initiate a look-back assessment" (4.2.4.3) - Appendix G: 30 business days.</t>
  </si>
  <si>
    <t xml:space="preserve">CUSO Identity and Access Management Standard v11.0 (approved 07/28/2026) SUS.IAMS.4.2.4.2 and 4.2.4.3 (p.12-13), Appendix G SLA Matrix (p.46, 53)</t>
  </si>
  <si>
    <t xml:space="preserve">Yes, but it is the leaver (de-provisioning) SLA, triggered by the termination date and owned by IAM/PAM under 4.2.4 - not by the C7 review. If the 12/31/2024 termination is confirmed, the deadlines were 01/02/2025 (AD) and 02/13/2025 (privileged access) and both were missed; a look-back of use after termination is required.</t>
  </si>
  <si>
    <t xml:space="preserve">Not rated in C7 A6. Report as an observation and refer to the leaver / de-provisioning control owner, pending HR confirmation (item 4).</t>
  </si>
  <si>
    <t xml:space="preserve">Is the 12/31/2024 termination real?</t>
  </si>
  <si>
    <t xml:space="preserve">IAMS: Termination Date 12/31/2024, Identity Inactive = FALSE, Assignee Employee Status = A (2026 Q2 exports). AD: expiration 01/01/2026 then 06/01/2026, logons in Nov 2025 (walkthrough). CyberArk safes are named Alero_Consultant_* / Alero_Protect-* (external consultants).</t>
  </si>
  <si>
    <t xml:space="preserve">C7.Sample.xlsx 2026 Q2 Manager tabs; walkthrough 4_Item Detail, 7_Evidence Status #4</t>
  </si>
  <si>
    <t xml:space="preserve">Not confirmed. The data suggest consultants whose contract end date was not updated in IAMS after an extension. HR / vendor contract evidence is still outstanding.</t>
  </si>
  <si>
    <t xml:space="preserve">If contracts were active: items 2-3 become an IAMS data-quality observation, except MIA25103 (below). If terminated: A5 exception + leaver SLA observation.</t>
  </si>
  <si>
    <t xml:space="preserve">MIA25103 (Ivan Ramirez Gonzalez) - AD disabled</t>
  </si>
  <si>
    <t xml:space="preserve">AD enabled = FALSE on 11/25/2025, 05/15/2026 and 10/10/2026; last logon 10/15/2023. Still a member of Cisco Network Administrators / ISEAdmin and approved on 7/27/2026 and 8/17/2026.</t>
  </si>
  <si>
    <t xml:space="preserve">C7.Sample.xlsx Oct10_2026Users row 1598; Sox-Manager rows 86-88; CyberArk-Manager rows 419-421</t>
  </si>
  <si>
    <t xml:space="preserve">Disabled account kept privileged network group membership and was re-approved. The review SLA does not apply (no revocation), but the review failed to identify an inactive account.</t>
  </si>
  <si>
    <t xml:space="preserve">Exception A5 (E1) stands regardless of the HR outcome.</t>
  </si>
  <si>
    <t xml:space="preserve">C. Re-performance per account - three tests (formulas in green-shaded result columns)</t>
  </si>
  <si>
    <t xml:space="preserve">IAMS Termination Date</t>
  </si>
  <si>
    <t xml:space="preserve">AD enabled 11/25/2025</t>
  </si>
  <si>
    <t xml:space="preserve">AD enabled 05/15/2026</t>
  </si>
  <si>
    <t xml:space="preserve">Revoked decision in any review?</t>
  </si>
  <si>
    <t xml:space="preserve">Decisions (2025 Q3 / 2026 Q1 / 2026 Q2)</t>
  </si>
  <si>
    <t xml:space="preserve">TEST 1 - Review revocation SLA (4.2.5.21, 30 bd from close of review)</t>
  </si>
  <si>
    <t xml:space="preserve">TEST 2 - Terminated-user revocation at review (PAM step 9)</t>
  </si>
  <si>
    <t xml:space="preserve">Revocation ticket raised?</t>
  </si>
  <si>
    <t xml:space="preserve">Leaver deadline - AD disable (4.2.4.2, 1 bd)</t>
  </si>
  <si>
    <t xml:space="preserve">Leaver deadline - privileged access (4.2.4.3, 30 bd)</t>
  </si>
  <si>
    <t xml:space="preserve">Privileged access still held on</t>
  </si>
  <si>
    <t xml:space="preserve">Business days past leaver deadline</t>
  </si>
  <si>
    <t xml:space="preserve">TEST 3 - Leaver SLA (4.2.4.3) - if termination confirmed</t>
  </si>
  <si>
    <t xml:space="preserve">Overall result</t>
  </si>
  <si>
    <t xml:space="preserve">Approved 08/28/2025 / Approved 04/30/2026 / Approved 7/27/26, 12:45 PM (SOX) and 8/17/26, 9:23 AM (CyberArk)</t>
  </si>
  <si>
    <t xml:space="preserve">No - none in any tab (WorkItemID blank)</t>
  </si>
  <si>
    <t xml:space="preserve">Exception A5 (E1, E2) - disabled and IAMS-terminated account approved; no revocation ticket. A6 N/A.</t>
  </si>
  <si>
    <t xml:space="preserve">C7.Sample.xlsx: SAMPLE!A72 (screenshots A73, A79); 2026Q2PamBsiSox-Manager rows 86-88; 2026Q2BsiPamCyberark-Manager rows 419-421; Oct10_2026Users row 1598. Walkthrough: 4_Item Detail 2025 Q3 CISCO Network Administrators row 15, 2025 Q3 ISEAdmin row 53, 2026 Q1 CISCO Network Administrators row 103, 2026 Q1 ISEAdmin row 126; 5_Exceptions row 4. Policy: section B above.</t>
  </si>
  <si>
    <t xml:space="preserve">Exception A5 (E2) - IAMS-terminated identity approved; no revocation ticket. A6 N/A.</t>
  </si>
  <si>
    <t xml:space="preserve">C7.Sample.xlsx: SAMPLE!A86 (screenshots A87, A93); 2026Q2PamBsiSox-Manager rows 89-91; 2026Q2BsiPamCyberark-Manager rows 422-424; Oct10_2026Users row 1596. Walkthrough: 4_Item Detail 2025 Q3 CISCO Network Administrators row 16, 2025 Q3 ISEAdmin row 54, 2026 Q1 CISCO Network Administrators row 104, 2026 Q1 ISEAdmin row 127; 5_Exceptions row 5. Policy: section B above.</t>
  </si>
  <si>
    <t xml:space="preserve">C7.Sample.xlsx: SAMPLE!A100 (screenshots A101, A107); 2026Q2PamBsiSox-Manager rows 92-94; 2026Q2BsiPamCyberark-Manager rows 425-427; Oct10_2026Users row 1599. Walkthrough: 4_Item Detail 2025 Q3 CISCO Network Administrators row 17, 2025 Q3 ISEAdmin row 55, 2026 Q1 CISCO Network Administrators row 105, 2026 Q1 ISEAdmin row 128; 5_Exceptions row 6. Policy: section B above.</t>
  </si>
  <si>
    <t xml:space="preserve">C7.Sample.xlsx: SAMPLE!A114 (screenshots A115, A121); 2026Q2PamBsiSox-Manager rows 95-97; 2026Q2BsiPamCyberark-Manager rows 428-430; Oct10_2026Users row 1597. Walkthrough: 4_Item Detail 2025 Q3 CISCO Network Administrators row 18, 2025 Q3 ISEAdmin row 56, 2026 Q1 CISCO Network Administrators row 106, 2026 Q1 ISEAdmin row 129; 5_Exceptions row 7. Policy: section B above.</t>
  </si>
  <si>
    <t xml:space="preserve">Exception A5 (E1, E2) - re-enabled after 05/15/2026; IAMS-terminated identity approved; no revocation ticket. A6 N/A.</t>
  </si>
  <si>
    <t xml:space="preserve">C7.Sample.xlsx: SAMPLE!A128 (screenshots A129, A135); 2026Q2PamBsiSox-Manager rows 104-106; 2026Q2BsiPamCyberark-Manager rows 437-439; Oct10_2026Users row 1787. Walkthrough: 4_Item Detail 2025 Q3 CISCO Network Administrators row 23, 2025 Q3 ISEAdmin row 58, 2026 Q1 CISCO Network Administrators row 110, 2026 Q1 ISEAdmin row 133; 5_Exceptions row 11. Policy: section B above.</t>
  </si>
  <si>
    <t xml:space="preserve">C7.Sample.xlsx: SAMPLE!A142 (screenshots A143, A149); 2026Q2PamBsiSox-Manager rows 101-103; 2026Q2BsiPamCyberark-Manager rows 434-436; Oct10_2026Users row 1785. Walkthrough: 4_Item Detail 2025 Q3 CISCO Network Administrators row 24, 2025 Q3 ISEAdmin row 59, 2026 Q1 CISCO Network Administrators row 111, 2026 Q1 ISEAdmin row 134; 5_Exceptions row 12. Policy: section B above.</t>
  </si>
  <si>
    <t xml:space="preserve">TEST 1 - accounts failing the 30-business-day review SLA</t>
  </si>
  <si>
    <t xml:space="preserve">TEST 2 - accounts failing terminated-user revocation at review (A5)</t>
  </si>
  <si>
    <t xml:space="preserve">TEST 3 - leaver SLA missed if termination is confirmed (observation)</t>
  </si>
  <si>
    <t xml:space="preserve">Blue = inputs: IAMS Termination Date from the 2026 Q2 Manager certifications; 08/17/2026 = latest certification (2026 Q2 CyberArk Manager) in which each account still holds Cisco Network Administrators / ISEAdmin. The 10/10/2026 AD export has no group data, so membership after 08/17/2026 is not evidenced. Business days exclude the US bank holidays on the Holidays tab.</t>
  </si>
  <si>
    <t xml:space="preserve">D. Answer to the test step, per account (with reference)</t>
  </si>
  <si>
    <t xml:space="preserve">Ivan Ramirez Gonzalez (MIA25103)</t>
  </si>
  <si>
    <t xml:space="preserve">Date the certification decision was made</t>
  </si>
  <si>
    <t xml:space="preserve">Date access was removed (if revoked)</t>
  </si>
  <si>
    <t xml:space="preserve">N/A - not revoked. The account still holds Cisco Network Administrators, ISEAdmin and CYBERARK_ALERO_USERS in the 2026 Q2 certifications.</t>
  </si>
  <si>
    <t xml:space="preserve">Removal within the 30-business-day SLA?</t>
  </si>
  <si>
    <t xml:space="preserve">N/A - the 30-business-day SLA (SUS.IAMS.4.2.5.21; PAM Procedure 4.1.1 C3-C4) starts only from a Revoked decision at the close of the review. No revocation was decided, so no SLA was triggered and A6 is not rated for this account.</t>
  </si>
  <si>
    <t xml:space="preserve">N/A - access was never removed.</t>
  </si>
  <si>
    <t xml:space="preserve">Supporting evidence</t>
  </si>
  <si>
    <t xml:space="preserve">Exception A5 - not an SLA exception. IAMS shows termination 12/31/2024; under PAM Procedure sec. 8 step 9 terminated users require a PAM revocation ticket, but the reviewer approved and none was raised. The AD account is disabled (11/25/2025, 05/15/2026, 10/10/2026) yet keeps and is re-approved for privileged network access - E1 stands even if the contract was active. If HR confirms the termination, the leaver SLA (SUS.IAMS.4.2.4.3, 30 business days from termination) was also missed - refer to the leaver control owner and request a look-back.</t>
  </si>
  <si>
    <t xml:space="preserve">Jefferson Paez Venegas (MIA25104)</t>
  </si>
  <si>
    <t xml:space="preserve">Exception A5 - not an SLA exception. IAMS shows termination 12/31/2024; under PAM Procedure sec. 8 step 9 terminated users require a PAM revocation ticket, but the reviewer approved and none was raised. If HR confirms the termination, the leaver SLA (SUS.IAMS.4.2.4.3, 30 business days from termination) was also missed - refer to the leaver control owner and request a look-back.</t>
  </si>
  <si>
    <t xml:space="preserve">David Serrano Aguirre (MIA25105)</t>
  </si>
  <si>
    <t xml:space="preserve">Maiko Vazquez Arias (MIA25106)</t>
  </si>
  <si>
    <t xml:space="preserve">Richard Harris (MIA25249)</t>
  </si>
  <si>
    <t xml:space="preserve">Exception A5 - not an SLA exception. IAMS shows termination 12/31/2024; under PAM Procedure sec. 8 step 9 terminated users require a PAM revocation ticket, but the reviewer approved and none was raised. AD shows the account disabled on 05/15/2026 and enabled again on 10/10/2026, with no request or audit event provided. If HR confirms the termination, the leaver SLA (SUS.IAMS.4.2.4.3, 30 business days from termination) was also missed - refer to the leaver control owner and request a look-back.</t>
  </si>
  <si>
    <t xml:space="preserve">Kevin Ackley (MIA25250)</t>
  </si>
  <si>
    <t xml:space="preserve">Exception A5 - not an SLA exception. IAMS shows termination 12/31/2024; under PAM Procedure sec. 8 step 9 terminated users require a PAM revocation ticket, but the reviewer approved and none was raised. AD shows the account disabled on 05/15/2026 and enabled again on 10/10/2026, with no request or audit event provided. AD employeeID / employeeNumber are blank, so the SAMPLE tab hard-codes identity 100592068. If HR confirms the termination, the leaver SLA (SUS.IAMS.4.2.4.3, 30 business days from termination) was also missed - refer to the leaver control owner and request a look-back.</t>
  </si>
  <si>
    <t xml:space="preserve">E. Draft response to the process owner</t>
  </si>
  <si>
    <t xml:space="preserve">We agree. Under SUS.IAMS.4.2.5.21 the 30-business-day SLA applies to "any revocation of privileged access rights resulting from the privileged access review outcomes", measured from the close of the review, and PAM Procedure step 9 ends the process when the manager approves. None of the 6 accounts (MIA25103, MIA25104, MIA25105, MIA25106, MIA25249, MIA25250) was revoked, so no SLA was triggered. We have withdrawn the "SLA not met" result, and these accounts are no longer rated under A6 (revocation within SLA).</t>
  </si>
  <si>
    <t xml:space="preserve">The exception remains, but under A5 (appropriateness of the review outcome). PAM Procedure sec. 8 step 9 requires the PAM team to submit revocation tickets "for any 'reject' decision or terminated users", and SUS.IAMS.4.2.5.1 requires the review to confirm that access remains valid. All 6 identities show IAMS Termination Date 12/31/2024, and MIA25103 is disabled in AD. All were approved in 2025 Q3, 2026 Q1 and 2026 Q2, and no revocation ticket was raised.</t>
  </si>
  <si>
    <t xml:space="preserve">Separately, SUS.IAMS.4.2.4.2 / 4.2.4.3 and Appendix G set leaver SLAs from the termination date (1 business day to disable AD; 30 business days to revoke privileged access), with a look-back if missed. We are not rating that in C7. If HR confirms the terminations, we will refer it to the de-provisioning control owner.</t>
  </si>
  <si>
    <t xml:space="preserve">To close the point, please provide: (1) HR / vendor contract evidence of the engagement status for the 6 accounts on 08/28/2025, 04/30/2026 and 07/27/2026, and why IAMS still shows 12/31/2024; (2) the reason MIA25103 (AD-disabled) kept and was re-approved for privileged network access; (3) the request / approval for re-enabling MIA25249 and MIA25250 after 05/15/2026.</t>
  </si>
  <si>
    <t xml:space="preserve">US bank holidays (Federal Reserve) used for the 30-business-day SLA</t>
  </si>
  <si>
    <t xml:space="preserve">Date</t>
  </si>
  <si>
    <t xml:space="preserve">Holiday</t>
  </si>
  <si>
    <t xml:space="preserve">New Year's Day</t>
  </si>
  <si>
    <t xml:space="preserve">MLK Day</t>
  </si>
  <si>
    <t xml:space="preserve">Presidents' Day</t>
  </si>
  <si>
    <t xml:space="preserve">Memorial Day</t>
  </si>
  <si>
    <t xml:space="preserve">Juneteenth</t>
  </si>
  <si>
    <t xml:space="preserve">Independence Day</t>
  </si>
  <si>
    <t xml:space="preserve">Labor Day</t>
  </si>
  <si>
    <t xml:space="preserve">Columbus Day</t>
  </si>
  <si>
    <t xml:space="preserve">Veterans Day</t>
  </si>
  <si>
    <t xml:space="preserve">Thanksgiving</t>
  </si>
  <si>
    <t xml:space="preserve">Christmas</t>
  </si>
  <si>
    <t xml:space="preserve">Independence Day (obs.)</t>
  </si>
</sst>
</file>

<file path=xl/styles.xml><?xml version="1.0" encoding="utf-8"?>
<styleSheet xmlns="http://schemas.openxmlformats.org/spreadsheetml/2006/main">
  <numFmts count="3">
    <numFmt numFmtId="164" formatCode="General"/>
    <numFmt numFmtId="165" formatCode="mm/dd/yyyy"/>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9"/>
      <name val="Arial"/>
      <family val="0"/>
      <charset val="1"/>
    </font>
    <font>
      <b val="true"/>
      <sz val="10"/>
      <name val="Arial"/>
      <family val="0"/>
      <charset val="1"/>
    </font>
    <font>
      <b val="true"/>
      <sz val="11"/>
      <name val="Arial"/>
      <family val="0"/>
      <charset val="1"/>
    </font>
    <font>
      <i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8CBAD"/>
        <bgColor rgb="FFFFEB9C"/>
      </patternFill>
    </fill>
    <fill>
      <patternFill patternType="solid">
        <fgColor rgb="FFFFEB9C"/>
        <bgColor rgb="FFFFFFCC"/>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22"/>
    <col collapsed="false" customWidth="true" hidden="false" outlineLevel="0" max="4" min="4" style="0" width="16"/>
    <col collapsed="false" customWidth="true" hidden="false" outlineLevel="0" max="5" min="5" style="0" width="34"/>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4"/>
    <col collapsed="false" customWidth="true" hidden="false" outlineLevel="0" max="11" min="11" style="0" width="20"/>
    <col collapsed="false" customWidth="true" hidden="false" outlineLevel="0" max="13" min="12" style="0" width="26"/>
    <col collapsed="false" customWidth="true" hidden="false" outlineLevel="0" max="14" min="14" style="0" width="40"/>
    <col collapsed="false" customWidth="true" hidden="false" outlineLevel="0" max="15" min="15" style="0" width="13"/>
    <col collapsed="false" customWidth="true" hidden="false" outlineLevel="0" max="16" min="16" style="0" width="30"/>
    <col collapsed="false" customWidth="true" hidden="false" outlineLevel="0" max="17" min="17" style="0" width="14"/>
    <col collapsed="false" customWidth="true" hidden="false" outlineLevel="0" max="18" min="18" style="0" width="30"/>
    <col collapsed="false" customWidth="true" hidden="false" outlineLevel="0" max="20" min="19" style="0" width="42"/>
    <col collapsed="false" customWidth="true" hidden="false" outlineLevel="0" max="21" min="21" style="0" width="46"/>
  </cols>
  <sheetData>
    <row r="1" customFormat="false" ht="15" hidden="false" customHeight="false" outlineLevel="0" collapsed="false">
      <c r="A1" s="1" t="s">
        <v>0</v>
      </c>
    </row>
    <row r="3" customFormat="false" ht="46.25" hidden="false" customHeight="fals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row>
    <row r="4" customFormat="false" ht="165" hidden="false" customHeight="true" outlineLevel="0" collapsed="false">
      <c r="A4" s="3" t="n">
        <v>1</v>
      </c>
      <c r="B4" s="3" t="s">
        <v>22</v>
      </c>
      <c r="C4" s="3" t="s">
        <v>23</v>
      </c>
      <c r="D4" s="3" t="s">
        <v>24</v>
      </c>
      <c r="E4" s="3" t="s">
        <v>25</v>
      </c>
      <c r="F4" s="4" t="n">
        <v>45897</v>
      </c>
      <c r="G4" s="4" t="n">
        <v>45902</v>
      </c>
      <c r="H4" s="3" t="n">
        <f aca="false">NETWORKDAYS(F4+1,G4,Holidays!$A$4:$A$23)</f>
        <v>2</v>
      </c>
      <c r="I4" s="5" t="n">
        <f aca="false">WORKDAY(F4,30,Holidays!$A$4:$A$23)</f>
        <v>45940</v>
      </c>
      <c r="J4" s="3" t="str">
        <f aca="false">IF(G4&lt;=I4,"Yes - within SLA","No - late")</f>
        <v>Yes - within SLA</v>
      </c>
      <c r="K4" s="3" t="s">
        <v>26</v>
      </c>
      <c r="L4" s="3" t="s">
        <v>27</v>
      </c>
      <c r="M4" s="3" t="s">
        <v>28</v>
      </c>
      <c r="N4" s="3" t="s">
        <v>29</v>
      </c>
      <c r="O4" s="3" t="s">
        <v>30</v>
      </c>
      <c r="P4" s="3" t="s">
        <v>31</v>
      </c>
      <c r="Q4" s="3" t="s">
        <v>32</v>
      </c>
      <c r="R4" s="6" t="s">
        <v>33</v>
      </c>
      <c r="S4" s="3" t="s">
        <v>34</v>
      </c>
      <c r="T4" s="3" t="s">
        <v>35</v>
      </c>
      <c r="U4" s="6" t="str">
        <f aca="false">"Exception (A6 - E3) NOT cleared. Removal was within the SLA ("&amp;H4&amp;" business days) but did not stay in place. The sample file shows no new revocation and no removal date; it shows the access approved again in 2026 Q2. Management to provide the re-grant request / approval or treat as an unauthorized re-grant."</f>
        <v>Exception (A6 - E3) NOT cleared. Removal was within the SLA (2 business days) but did not stay in place. The sample file shows no new revocation and no removal date; it shows the access approved again in 2026 Q2. Management to provide the re-grant request / approval or treat as an unauthorized re-grant.</v>
      </c>
    </row>
    <row r="5" customFormat="false" ht="165" hidden="false" customHeight="true" outlineLevel="0" collapsed="false">
      <c r="A5" s="3" t="n">
        <v>2</v>
      </c>
      <c r="B5" s="3" t="s">
        <v>36</v>
      </c>
      <c r="C5" s="3" t="s">
        <v>37</v>
      </c>
      <c r="D5" s="3" t="s">
        <v>24</v>
      </c>
      <c r="E5" s="3" t="s">
        <v>38</v>
      </c>
      <c r="F5" s="4" t="n">
        <v>45897</v>
      </c>
      <c r="G5" s="4" t="n">
        <v>45902</v>
      </c>
      <c r="H5" s="3" t="n">
        <f aca="false">NETWORKDAYS(F5+1,G5,Holidays!$A$4:$A$23)</f>
        <v>2</v>
      </c>
      <c r="I5" s="5" t="n">
        <f aca="false">WORKDAY(F5,30,Holidays!$A$4:$A$23)</f>
        <v>45940</v>
      </c>
      <c r="J5" s="3" t="str">
        <f aca="false">IF(G5&lt;=I5,"Yes - within SLA","No - late")</f>
        <v>Yes - within SLA</v>
      </c>
      <c r="K5" s="3" t="s">
        <v>26</v>
      </c>
      <c r="L5" s="3" t="s">
        <v>39</v>
      </c>
      <c r="M5" s="3" t="s">
        <v>40</v>
      </c>
      <c r="N5" s="3" t="s">
        <v>41</v>
      </c>
      <c r="O5" s="3" t="s">
        <v>42</v>
      </c>
      <c r="P5" s="3" t="s">
        <v>31</v>
      </c>
      <c r="Q5" s="3" t="s">
        <v>43</v>
      </c>
      <c r="R5" s="6" t="s">
        <v>33</v>
      </c>
      <c r="S5" s="3" t="s">
        <v>44</v>
      </c>
      <c r="T5" s="3" t="s">
        <v>35</v>
      </c>
      <c r="U5" s="6" t="str">
        <f aca="false">"Exception (A6 - E3) NOT cleared. Removal was within the SLA ("&amp;H5&amp;" business days) but did not stay in place. The sample file shows no new revocation and no removal date; it shows the access approved again in 2026 Q2. Management to provide the re-grant request / approval or treat as an unauthorized re-grant."</f>
        <v>Exception (A6 - E3) NOT cleared. Removal was within the SLA (2 business days) but did not stay in place. The sample file shows no new revocation and no removal date; it shows the access approved again in 2026 Q2. Management to provide the re-grant request / approval or treat as an unauthorized re-grant.</v>
      </c>
    </row>
    <row r="6" customFormat="false" ht="165" hidden="false" customHeight="true" outlineLevel="0" collapsed="false">
      <c r="A6" s="3" t="n">
        <v>3</v>
      </c>
      <c r="B6" s="3" t="s">
        <v>45</v>
      </c>
      <c r="C6" s="3" t="s">
        <v>46</v>
      </c>
      <c r="D6" s="3" t="s">
        <v>24</v>
      </c>
      <c r="E6" s="3" t="s">
        <v>38</v>
      </c>
      <c r="F6" s="4" t="n">
        <v>45897</v>
      </c>
      <c r="G6" s="4" t="n">
        <v>45908</v>
      </c>
      <c r="H6" s="3" t="n">
        <f aca="false">NETWORKDAYS(F6+1,G6,Holidays!$A$4:$A$23)</f>
        <v>6</v>
      </c>
      <c r="I6" s="5" t="n">
        <f aca="false">WORKDAY(F6,30,Holidays!$A$4:$A$23)</f>
        <v>45940</v>
      </c>
      <c r="J6" s="3" t="str">
        <f aca="false">IF(G6&lt;=I6,"Yes - within SLA","No - late")</f>
        <v>Yes - within SLA</v>
      </c>
      <c r="K6" s="3" t="s">
        <v>26</v>
      </c>
      <c r="L6" s="3" t="s">
        <v>47</v>
      </c>
      <c r="M6" s="3" t="s">
        <v>48</v>
      </c>
      <c r="N6" s="3" t="s">
        <v>49</v>
      </c>
      <c r="O6" s="3" t="s">
        <v>42</v>
      </c>
      <c r="P6" s="3" t="s">
        <v>31</v>
      </c>
      <c r="Q6" s="3" t="s">
        <v>50</v>
      </c>
      <c r="R6" s="6" t="s">
        <v>33</v>
      </c>
      <c r="S6" s="3" t="s">
        <v>51</v>
      </c>
      <c r="T6" s="3" t="s">
        <v>35</v>
      </c>
      <c r="U6" s="6" t="str">
        <f aca="false">"Exception (A6 - E3) NOT cleared. Removal was within the SLA ("&amp;H6&amp;" business days) but did not stay in place. The sample file shows no new revocation and no removal date; it shows the access approved again in 2026 Q2. Management to provide the re-grant request / approval or treat as an unauthorized re-grant."</f>
        <v>Exception (A6 - E3) NOT cleared. Removal was within the SLA (6 business days) but did not stay in place. The sample file shows no new revocation and no removal date; it shows the access approved again in 2026 Q2. Management to provide the re-grant request / approval or treat as an unauthorized re-grant.</v>
      </c>
    </row>
    <row r="7" customFormat="false" ht="165" hidden="false" customHeight="true" outlineLevel="0" collapsed="false">
      <c r="A7" s="3" t="n">
        <v>4</v>
      </c>
      <c r="B7" s="3" t="s">
        <v>52</v>
      </c>
      <c r="C7" s="3" t="s">
        <v>53</v>
      </c>
      <c r="D7" s="3" t="s">
        <v>24</v>
      </c>
      <c r="E7" s="3" t="s">
        <v>25</v>
      </c>
      <c r="F7" s="4" t="n">
        <v>45897</v>
      </c>
      <c r="G7" s="4" t="n">
        <v>45908</v>
      </c>
      <c r="H7" s="3" t="n">
        <f aca="false">NETWORKDAYS(F7+1,G7,Holidays!$A$4:$A$23)</f>
        <v>6</v>
      </c>
      <c r="I7" s="5" t="n">
        <f aca="false">WORKDAY(F7,30,Holidays!$A$4:$A$23)</f>
        <v>45940</v>
      </c>
      <c r="J7" s="3" t="str">
        <f aca="false">IF(G7&lt;=I7,"Yes - within SLA","No - late")</f>
        <v>Yes - within SLA</v>
      </c>
      <c r="K7" s="3" t="s">
        <v>26</v>
      </c>
      <c r="L7" s="3" t="s">
        <v>54</v>
      </c>
      <c r="M7" s="3" t="s">
        <v>55</v>
      </c>
      <c r="N7" s="3" t="s">
        <v>56</v>
      </c>
      <c r="O7" s="3" t="s">
        <v>42</v>
      </c>
      <c r="P7" s="3" t="s">
        <v>31</v>
      </c>
      <c r="Q7" s="3" t="s">
        <v>57</v>
      </c>
      <c r="R7" s="6" t="s">
        <v>33</v>
      </c>
      <c r="S7" s="3" t="s">
        <v>58</v>
      </c>
      <c r="T7" s="3" t="s">
        <v>35</v>
      </c>
      <c r="U7" s="6" t="str">
        <f aca="false">"Exception (A6 - E3) NOT cleared. Removal was within the SLA ("&amp;H7&amp;" business days) but did not stay in place. The sample file shows no new revocation and no removal date; it shows the access approved again in 2026 Q2. Management to provide the re-grant request / approval or treat as an unauthorized re-grant."</f>
        <v>Exception (A6 - E3) NOT cleared. Removal was within the SLA (6 business days) but did not stay in place. The sample file shows no new revocation and no removal date; it shows the access approved again in 2026 Q2. Management to provide the re-grant request / approval or treat as an unauthorized re-grant.</v>
      </c>
    </row>
    <row r="8" customFormat="false" ht="165" hidden="false" customHeight="true" outlineLevel="0" collapsed="false">
      <c r="A8" s="3" t="n">
        <v>5</v>
      </c>
      <c r="B8" s="3" t="s">
        <v>59</v>
      </c>
      <c r="C8" s="3" t="s">
        <v>60</v>
      </c>
      <c r="D8" s="3" t="s">
        <v>61</v>
      </c>
      <c r="E8" s="3" t="s">
        <v>62</v>
      </c>
      <c r="F8" s="5" t="s">
        <v>63</v>
      </c>
      <c r="G8" s="5" t="s">
        <v>64</v>
      </c>
      <c r="H8" s="3" t="s">
        <v>63</v>
      </c>
      <c r="I8" s="5" t="s">
        <v>63</v>
      </c>
      <c r="J8" s="7" t="s">
        <v>65</v>
      </c>
      <c r="K8" s="3" t="s">
        <v>66</v>
      </c>
      <c r="L8" s="3" t="s">
        <v>67</v>
      </c>
      <c r="M8" s="3" t="s">
        <v>68</v>
      </c>
      <c r="N8" s="3" t="s">
        <v>69</v>
      </c>
      <c r="O8" s="3" t="s">
        <v>30</v>
      </c>
      <c r="P8" s="3" t="s">
        <v>70</v>
      </c>
      <c r="Q8" s="3" t="s">
        <v>71</v>
      </c>
      <c r="R8" s="7" t="s">
        <v>72</v>
      </c>
      <c r="S8" s="3" t="s">
        <v>73</v>
      </c>
      <c r="T8" s="3" t="s">
        <v>74</v>
      </c>
      <c r="U8" s="6" t="s">
        <v>75</v>
      </c>
    </row>
    <row r="9" customFormat="false" ht="165" hidden="false" customHeight="true" outlineLevel="0" collapsed="false">
      <c r="A9" s="3" t="n">
        <v>6</v>
      </c>
      <c r="B9" s="3" t="s">
        <v>76</v>
      </c>
      <c r="C9" s="3" t="s">
        <v>77</v>
      </c>
      <c r="D9" s="3" t="s">
        <v>61</v>
      </c>
      <c r="E9" s="3" t="s">
        <v>62</v>
      </c>
      <c r="F9" s="5" t="s">
        <v>63</v>
      </c>
      <c r="G9" s="5" t="s">
        <v>64</v>
      </c>
      <c r="H9" s="3" t="s">
        <v>63</v>
      </c>
      <c r="I9" s="5" t="s">
        <v>63</v>
      </c>
      <c r="J9" s="7" t="s">
        <v>65</v>
      </c>
      <c r="K9" s="3" t="s">
        <v>66</v>
      </c>
      <c r="L9" s="3" t="s">
        <v>78</v>
      </c>
      <c r="M9" s="3" t="s">
        <v>79</v>
      </c>
      <c r="N9" s="3" t="s">
        <v>80</v>
      </c>
      <c r="O9" s="3" t="s">
        <v>30</v>
      </c>
      <c r="P9" s="3" t="s">
        <v>81</v>
      </c>
      <c r="Q9" s="3" t="s">
        <v>82</v>
      </c>
      <c r="R9" s="7" t="s">
        <v>72</v>
      </c>
      <c r="S9" s="3" t="s">
        <v>83</v>
      </c>
      <c r="T9" s="3" t="s">
        <v>74</v>
      </c>
      <c r="U9" s="6" t="s">
        <v>84</v>
      </c>
    </row>
    <row r="10" customFormat="false" ht="165" hidden="false" customHeight="true" outlineLevel="0" collapsed="false">
      <c r="A10" s="3" t="n">
        <v>7</v>
      </c>
      <c r="B10" s="3" t="s">
        <v>85</v>
      </c>
      <c r="C10" s="3" t="s">
        <v>86</v>
      </c>
      <c r="D10" s="3" t="s">
        <v>61</v>
      </c>
      <c r="E10" s="3" t="s">
        <v>62</v>
      </c>
      <c r="F10" s="5" t="s">
        <v>63</v>
      </c>
      <c r="G10" s="5" t="s">
        <v>64</v>
      </c>
      <c r="H10" s="3" t="s">
        <v>63</v>
      </c>
      <c r="I10" s="5" t="s">
        <v>63</v>
      </c>
      <c r="J10" s="7" t="s">
        <v>65</v>
      </c>
      <c r="K10" s="3" t="s">
        <v>66</v>
      </c>
      <c r="L10" s="3" t="s">
        <v>87</v>
      </c>
      <c r="M10" s="3" t="s">
        <v>88</v>
      </c>
      <c r="N10" s="3" t="s">
        <v>89</v>
      </c>
      <c r="O10" s="3" t="s">
        <v>30</v>
      </c>
      <c r="P10" s="3" t="s">
        <v>81</v>
      </c>
      <c r="Q10" s="3" t="s">
        <v>90</v>
      </c>
      <c r="R10" s="7" t="s">
        <v>72</v>
      </c>
      <c r="S10" s="3" t="s">
        <v>91</v>
      </c>
      <c r="T10" s="3" t="s">
        <v>74</v>
      </c>
      <c r="U10" s="6" t="s">
        <v>84</v>
      </c>
    </row>
    <row r="11" customFormat="false" ht="165" hidden="false" customHeight="true" outlineLevel="0" collapsed="false">
      <c r="A11" s="3" t="n">
        <v>8</v>
      </c>
      <c r="B11" s="3" t="s">
        <v>92</v>
      </c>
      <c r="C11" s="3" t="s">
        <v>93</v>
      </c>
      <c r="D11" s="3" t="s">
        <v>61</v>
      </c>
      <c r="E11" s="3" t="s">
        <v>62</v>
      </c>
      <c r="F11" s="5" t="s">
        <v>63</v>
      </c>
      <c r="G11" s="5" t="s">
        <v>64</v>
      </c>
      <c r="H11" s="3" t="s">
        <v>63</v>
      </c>
      <c r="I11" s="5" t="s">
        <v>63</v>
      </c>
      <c r="J11" s="7" t="s">
        <v>65</v>
      </c>
      <c r="K11" s="3" t="s">
        <v>66</v>
      </c>
      <c r="L11" s="3" t="s">
        <v>94</v>
      </c>
      <c r="M11" s="3" t="s">
        <v>95</v>
      </c>
      <c r="N11" s="3" t="s">
        <v>96</v>
      </c>
      <c r="O11" s="3" t="s">
        <v>30</v>
      </c>
      <c r="P11" s="3" t="s">
        <v>81</v>
      </c>
      <c r="Q11" s="3" t="s">
        <v>97</v>
      </c>
      <c r="R11" s="7" t="s">
        <v>72</v>
      </c>
      <c r="S11" s="3" t="s">
        <v>98</v>
      </c>
      <c r="T11" s="3" t="s">
        <v>74</v>
      </c>
      <c r="U11" s="6" t="s">
        <v>84</v>
      </c>
    </row>
    <row r="12" customFormat="false" ht="165" hidden="false" customHeight="true" outlineLevel="0" collapsed="false">
      <c r="A12" s="3" t="n">
        <v>9</v>
      </c>
      <c r="B12" s="3" t="s">
        <v>99</v>
      </c>
      <c r="C12" s="3" t="s">
        <v>100</v>
      </c>
      <c r="D12" s="3" t="s">
        <v>61</v>
      </c>
      <c r="E12" s="3" t="s">
        <v>62</v>
      </c>
      <c r="F12" s="5" t="s">
        <v>63</v>
      </c>
      <c r="G12" s="5" t="s">
        <v>64</v>
      </c>
      <c r="H12" s="3" t="s">
        <v>63</v>
      </c>
      <c r="I12" s="5" t="s">
        <v>63</v>
      </c>
      <c r="J12" s="7" t="s">
        <v>65</v>
      </c>
      <c r="K12" s="3" t="s">
        <v>66</v>
      </c>
      <c r="L12" s="3" t="s">
        <v>101</v>
      </c>
      <c r="M12" s="3" t="s">
        <v>102</v>
      </c>
      <c r="N12" s="3" t="s">
        <v>103</v>
      </c>
      <c r="O12" s="3" t="s">
        <v>30</v>
      </c>
      <c r="P12" s="3" t="s">
        <v>104</v>
      </c>
      <c r="Q12" s="3" t="s">
        <v>105</v>
      </c>
      <c r="R12" s="7" t="s">
        <v>72</v>
      </c>
      <c r="S12" s="3" t="s">
        <v>106</v>
      </c>
      <c r="T12" s="3" t="s">
        <v>74</v>
      </c>
      <c r="U12" s="6" t="s">
        <v>107</v>
      </c>
    </row>
    <row r="13" customFormat="false" ht="165" hidden="false" customHeight="true" outlineLevel="0" collapsed="false">
      <c r="A13" s="3" t="n">
        <v>10</v>
      </c>
      <c r="B13" s="3" t="s">
        <v>108</v>
      </c>
      <c r="C13" s="3" t="s">
        <v>109</v>
      </c>
      <c r="D13" s="3" t="s">
        <v>61</v>
      </c>
      <c r="E13" s="3" t="s">
        <v>62</v>
      </c>
      <c r="F13" s="5" t="s">
        <v>63</v>
      </c>
      <c r="G13" s="5" t="s">
        <v>64</v>
      </c>
      <c r="H13" s="3" t="s">
        <v>63</v>
      </c>
      <c r="I13" s="5" t="s">
        <v>63</v>
      </c>
      <c r="J13" s="7" t="s">
        <v>65</v>
      </c>
      <c r="K13" s="3" t="s">
        <v>66</v>
      </c>
      <c r="L13" s="3" t="s">
        <v>110</v>
      </c>
      <c r="M13" s="3" t="s">
        <v>111</v>
      </c>
      <c r="N13" s="3" t="s">
        <v>112</v>
      </c>
      <c r="O13" s="3" t="s">
        <v>30</v>
      </c>
      <c r="P13" s="3" t="s">
        <v>113</v>
      </c>
      <c r="Q13" s="3" t="s">
        <v>114</v>
      </c>
      <c r="R13" s="7" t="s">
        <v>72</v>
      </c>
      <c r="S13" s="3" t="s">
        <v>115</v>
      </c>
      <c r="T13" s="3" t="s">
        <v>74</v>
      </c>
      <c r="U13" s="6" t="s">
        <v>116</v>
      </c>
    </row>
    <row r="15" customFormat="false" ht="15" hidden="false" customHeight="false" outlineLevel="0" collapsed="false">
      <c r="A15" s="8" t="s">
        <v>117</v>
      </c>
      <c r="B15" s="8"/>
      <c r="C15" s="8"/>
      <c r="D15" s="8"/>
      <c r="E15" s="8"/>
      <c r="F15" s="8"/>
      <c r="G15" s="8"/>
      <c r="H15" s="8"/>
      <c r="I15" s="8"/>
      <c r="J15" s="8"/>
      <c r="K15" s="8"/>
      <c r="L15" s="8"/>
      <c r="M15" s="8"/>
      <c r="N15" s="8"/>
    </row>
    <row r="16" customFormat="false" ht="15" hidden="false" customHeight="false" outlineLevel="0" collapsed="false">
      <c r="A16" s="8" t="s">
        <v>118</v>
      </c>
      <c r="B16" s="8"/>
      <c r="C16" s="8"/>
      <c r="D16" s="8"/>
      <c r="E16" s="8"/>
      <c r="F16" s="8"/>
      <c r="G16" s="8"/>
      <c r="H16" s="8"/>
      <c r="I16" s="8"/>
      <c r="J16" s="8"/>
      <c r="K16" s="8"/>
      <c r="L16" s="8"/>
      <c r="M16" s="8"/>
      <c r="N16" s="8"/>
    </row>
    <row r="17" customFormat="false" ht="15" hidden="false" customHeight="false" outlineLevel="0" collapsed="false">
      <c r="A17" s="8" t="s">
        <v>119</v>
      </c>
      <c r="B17" s="8"/>
      <c r="C17" s="8"/>
      <c r="D17" s="8"/>
      <c r="E17" s="8"/>
      <c r="F17" s="8"/>
      <c r="G17" s="8"/>
      <c r="H17" s="8"/>
      <c r="I17" s="8"/>
      <c r="J17" s="8"/>
      <c r="K17" s="8"/>
      <c r="L17" s="8"/>
      <c r="M17" s="8"/>
      <c r="N17" s="8"/>
    </row>
    <row r="18" customFormat="false" ht="15" hidden="false" customHeight="false" outlineLevel="0" collapsed="false">
      <c r="A18" s="8" t="s">
        <v>120</v>
      </c>
      <c r="B18" s="8"/>
      <c r="C18" s="8"/>
      <c r="D18" s="8"/>
      <c r="E18" s="8"/>
      <c r="F18" s="8"/>
      <c r="G18" s="8"/>
      <c r="H18" s="8"/>
      <c r="I18" s="8"/>
      <c r="J18" s="8"/>
      <c r="K18" s="8"/>
      <c r="L18" s="8"/>
      <c r="M18" s="8"/>
      <c r="N18" s="8"/>
    </row>
    <row r="20" customFormat="false" ht="15" hidden="false" customHeight="false" outlineLevel="0" collapsed="false">
      <c r="A20" s="9" t="s">
        <v>121</v>
      </c>
    </row>
    <row r="21" customFormat="false" ht="15" hidden="false" customHeight="false" outlineLevel="0" collapsed="false">
      <c r="B21" s="10" t="s">
        <v>122</v>
      </c>
      <c r="C21" s="10"/>
      <c r="D21" s="10"/>
      <c r="E21" s="9" t="n">
        <f aca="false">COUNTA(B4:B13)</f>
        <v>10</v>
      </c>
    </row>
    <row r="22" customFormat="false" ht="15" hidden="false" customHeight="false" outlineLevel="0" collapsed="false">
      <c r="B22" s="10" t="s">
        <v>123</v>
      </c>
      <c r="C22" s="10"/>
      <c r="D22" s="10"/>
      <c r="E22" s="9" t="n">
        <f aca="false">COUNTIF(J4:J13,"Yes*")</f>
        <v>4</v>
      </c>
    </row>
    <row r="23" customFormat="false" ht="15" hidden="false" customHeight="false" outlineLevel="0" collapsed="false">
      <c r="B23" s="10" t="s">
        <v>124</v>
      </c>
      <c r="C23" s="10"/>
      <c r="D23" s="10"/>
      <c r="E23" s="9" t="n">
        <f aca="false">COUNTIF(R4:R13,"Yes*")</f>
        <v>0</v>
      </c>
    </row>
    <row r="24" customFormat="false" ht="15" hidden="false" customHeight="false" outlineLevel="0" collapsed="false">
      <c r="B24" s="10" t="s">
        <v>125</v>
      </c>
      <c r="C24" s="10"/>
      <c r="D24" s="10"/>
      <c r="E24" s="9" t="n">
        <f aca="false">COUNTIF(U4:U13,"Exception*")</f>
        <v>10</v>
      </c>
    </row>
  </sheetData>
  <mergeCells count="8">
    <mergeCell ref="A15:N15"/>
    <mergeCell ref="A16:N16"/>
    <mergeCell ref="A17:N17"/>
    <mergeCell ref="A18:N18"/>
    <mergeCell ref="B21:D21"/>
    <mergeCell ref="B22:D22"/>
    <mergeCell ref="B23:D23"/>
    <mergeCell ref="B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4" min="3" style="0" width="11"/>
    <col collapsed="false" customWidth="true" hidden="false" outlineLevel="0" max="5" min="5" style="0" width="24"/>
    <col collapsed="false" customWidth="true" hidden="false" outlineLevel="0" max="6" min="6" style="0" width="60"/>
    <col collapsed="false" customWidth="true" hidden="false" outlineLevel="0" max="7" min="7" style="0" width="10"/>
    <col collapsed="false" customWidth="true" hidden="false" outlineLevel="0" max="8" min="8" style="0" width="9"/>
    <col collapsed="false" customWidth="true" hidden="false" outlineLevel="0" max="9" min="9" style="0" width="22"/>
    <col collapsed="false" customWidth="true" hidden="false" outlineLevel="0" max="11" min="10" style="0" width="15"/>
    <col collapsed="false" customWidth="true" hidden="false" outlineLevel="0" max="12" min="12" style="0" width="12"/>
    <col collapsed="false" customWidth="true" hidden="false" outlineLevel="0" max="13" min="13" style="0" width="9"/>
    <col collapsed="false" customWidth="true" hidden="false" outlineLevel="0" max="14" min="14" style="0" width="15"/>
    <col collapsed="false" customWidth="true" hidden="false" outlineLevel="0" max="15" min="15" style="0" width="10"/>
    <col collapsed="false" customWidth="true" hidden="false" outlineLevel="0" max="16" min="16" style="0" width="11"/>
    <col collapsed="false" customWidth="true" hidden="false" outlineLevel="0" max="17" min="17" style="0" width="9"/>
    <col collapsed="false" customWidth="true" hidden="false" outlineLevel="0" max="18" min="18" style="0" width="55"/>
  </cols>
  <sheetData>
    <row r="1" customFormat="false" ht="15" hidden="false" customHeight="false" outlineLevel="0" collapsed="false">
      <c r="A1" s="1" t="s">
        <v>126</v>
      </c>
    </row>
    <row r="3" customFormat="false" ht="46.25" hidden="false" customHeight="false" outlineLevel="0" collapsed="false">
      <c r="A3" s="2" t="s">
        <v>127</v>
      </c>
      <c r="B3" s="2" t="s">
        <v>128</v>
      </c>
      <c r="C3" s="2" t="s">
        <v>2</v>
      </c>
      <c r="D3" s="2" t="s">
        <v>129</v>
      </c>
      <c r="E3" s="2" t="s">
        <v>130</v>
      </c>
      <c r="F3" s="2" t="s">
        <v>131</v>
      </c>
      <c r="G3" s="2" t="s">
        <v>132</v>
      </c>
      <c r="H3" s="2" t="s">
        <v>133</v>
      </c>
      <c r="I3" s="2" t="s">
        <v>134</v>
      </c>
      <c r="J3" s="2" t="s">
        <v>135</v>
      </c>
      <c r="K3" s="2" t="s">
        <v>136</v>
      </c>
      <c r="L3" s="2" t="s">
        <v>137</v>
      </c>
      <c r="M3" s="2" t="s">
        <v>138</v>
      </c>
      <c r="N3" s="2" t="s">
        <v>139</v>
      </c>
      <c r="O3" s="2" t="s">
        <v>140</v>
      </c>
      <c r="P3" s="2" t="s">
        <v>141</v>
      </c>
      <c r="Q3" s="2" t="s">
        <v>142</v>
      </c>
      <c r="R3" s="2" t="s">
        <v>143</v>
      </c>
    </row>
    <row r="4" customFormat="false" ht="23.85" hidden="false" customHeight="false" outlineLevel="0" collapsed="false">
      <c r="A4" s="3" t="s">
        <v>144</v>
      </c>
      <c r="B4" s="3" t="n">
        <v>431</v>
      </c>
      <c r="C4" s="3" t="s">
        <v>22</v>
      </c>
      <c r="D4" s="3" t="n">
        <v>100546241</v>
      </c>
      <c r="E4" s="3" t="s">
        <v>145</v>
      </c>
      <c r="F4" s="3" t="s">
        <v>146</v>
      </c>
      <c r="G4" s="3" t="s">
        <v>147</v>
      </c>
      <c r="H4" s="3"/>
      <c r="I4" s="3" t="s">
        <v>148</v>
      </c>
      <c r="J4" s="3" t="s">
        <v>149</v>
      </c>
      <c r="K4" s="3" t="s">
        <v>149</v>
      </c>
      <c r="L4" s="3" t="s">
        <v>30</v>
      </c>
      <c r="M4" s="11" t="b">
        <f aca="false">FALSE()</f>
        <v>0</v>
      </c>
      <c r="N4" s="3" t="s">
        <v>150</v>
      </c>
      <c r="O4" s="3" t="s">
        <v>42</v>
      </c>
      <c r="P4" s="11" t="b">
        <f aca="false">TRUE()</f>
        <v>1</v>
      </c>
      <c r="Q4" s="3" t="s">
        <v>151</v>
      </c>
      <c r="R4" s="6" t="s">
        <v>152</v>
      </c>
    </row>
    <row r="5" customFormat="false" ht="35.05" hidden="false" customHeight="false" outlineLevel="0" collapsed="false">
      <c r="A5" s="3" t="s">
        <v>144</v>
      </c>
      <c r="B5" s="3" t="n">
        <v>432</v>
      </c>
      <c r="C5" s="3" t="s">
        <v>22</v>
      </c>
      <c r="D5" s="3" t="n">
        <v>100546241</v>
      </c>
      <c r="E5" s="3" t="s">
        <v>145</v>
      </c>
      <c r="F5" s="3" t="s">
        <v>153</v>
      </c>
      <c r="G5" s="3" t="s">
        <v>147</v>
      </c>
      <c r="H5" s="3"/>
      <c r="I5" s="3" t="s">
        <v>148</v>
      </c>
      <c r="J5" s="3" t="s">
        <v>149</v>
      </c>
      <c r="K5" s="3" t="s">
        <v>149</v>
      </c>
      <c r="L5" s="3" t="s">
        <v>30</v>
      </c>
      <c r="M5" s="11" t="b">
        <f aca="false">FALSE()</f>
        <v>0</v>
      </c>
      <c r="N5" s="3" t="s">
        <v>150</v>
      </c>
      <c r="O5" s="3" t="s">
        <v>42</v>
      </c>
      <c r="P5" s="11" t="b">
        <f aca="false">TRUE()</f>
        <v>1</v>
      </c>
      <c r="Q5" s="3" t="s">
        <v>151</v>
      </c>
      <c r="R5" s="6" t="s">
        <v>154</v>
      </c>
    </row>
    <row r="6" customFormat="false" ht="35.05" hidden="false" customHeight="false" outlineLevel="0" collapsed="false">
      <c r="A6" s="3" t="s">
        <v>144</v>
      </c>
      <c r="B6" s="3" t="n">
        <v>433</v>
      </c>
      <c r="C6" s="3" t="s">
        <v>22</v>
      </c>
      <c r="D6" s="3" t="n">
        <v>100546241</v>
      </c>
      <c r="E6" s="3" t="s">
        <v>145</v>
      </c>
      <c r="F6" s="3" t="s">
        <v>155</v>
      </c>
      <c r="G6" s="3" t="s">
        <v>147</v>
      </c>
      <c r="H6" s="3"/>
      <c r="I6" s="3" t="s">
        <v>148</v>
      </c>
      <c r="J6" s="3" t="s">
        <v>149</v>
      </c>
      <c r="K6" s="3" t="s">
        <v>149</v>
      </c>
      <c r="L6" s="3" t="s">
        <v>30</v>
      </c>
      <c r="M6" s="11" t="b">
        <f aca="false">FALSE()</f>
        <v>0</v>
      </c>
      <c r="N6" s="3" t="s">
        <v>150</v>
      </c>
      <c r="O6" s="3" t="s">
        <v>42</v>
      </c>
      <c r="P6" s="11" t="b">
        <f aca="false">TRUE()</f>
        <v>1</v>
      </c>
      <c r="Q6" s="3" t="s">
        <v>151</v>
      </c>
      <c r="R6" s="6" t="s">
        <v>154</v>
      </c>
    </row>
    <row r="7" customFormat="false" ht="35.05" hidden="false" customHeight="false" outlineLevel="0" collapsed="false">
      <c r="A7" s="3" t="s">
        <v>156</v>
      </c>
      <c r="B7" s="3" t="n">
        <v>98</v>
      </c>
      <c r="C7" s="3" t="s">
        <v>22</v>
      </c>
      <c r="D7" s="3" t="n">
        <v>100546241</v>
      </c>
      <c r="E7" s="3" t="s">
        <v>145</v>
      </c>
      <c r="F7" s="3" t="s">
        <v>157</v>
      </c>
      <c r="G7" s="3" t="s">
        <v>147</v>
      </c>
      <c r="H7" s="3"/>
      <c r="I7" s="3" t="s">
        <v>148</v>
      </c>
      <c r="J7" s="3" t="s">
        <v>158</v>
      </c>
      <c r="K7" s="3" t="s">
        <v>158</v>
      </c>
      <c r="L7" s="3" t="s">
        <v>30</v>
      </c>
      <c r="M7" s="11" t="b">
        <f aca="false">FALSE()</f>
        <v>0</v>
      </c>
      <c r="N7" s="3" t="s">
        <v>150</v>
      </c>
      <c r="O7" s="3" t="s">
        <v>42</v>
      </c>
      <c r="P7" s="11" t="b">
        <f aca="false">TRUE()</f>
        <v>1</v>
      </c>
      <c r="Q7" s="3" t="s">
        <v>151</v>
      </c>
      <c r="R7" s="6" t="s">
        <v>152</v>
      </c>
    </row>
    <row r="8" customFormat="false" ht="35.05" hidden="false" customHeight="false" outlineLevel="0" collapsed="false">
      <c r="A8" s="3" t="s">
        <v>156</v>
      </c>
      <c r="B8" s="3" t="n">
        <v>99</v>
      </c>
      <c r="C8" s="3" t="s">
        <v>22</v>
      </c>
      <c r="D8" s="3" t="n">
        <v>100546241</v>
      </c>
      <c r="E8" s="3" t="s">
        <v>145</v>
      </c>
      <c r="F8" s="3" t="s">
        <v>159</v>
      </c>
      <c r="G8" s="3" t="s">
        <v>147</v>
      </c>
      <c r="H8" s="3"/>
      <c r="I8" s="3" t="s">
        <v>148</v>
      </c>
      <c r="J8" s="3" t="s">
        <v>158</v>
      </c>
      <c r="K8" s="3" t="s">
        <v>158</v>
      </c>
      <c r="L8" s="3" t="s">
        <v>30</v>
      </c>
      <c r="M8" s="11" t="b">
        <f aca="false">FALSE()</f>
        <v>0</v>
      </c>
      <c r="N8" s="3" t="s">
        <v>150</v>
      </c>
      <c r="O8" s="3" t="s">
        <v>42</v>
      </c>
      <c r="P8" s="11" t="b">
        <f aca="false">TRUE()</f>
        <v>1</v>
      </c>
      <c r="Q8" s="3" t="s">
        <v>151</v>
      </c>
      <c r="R8" s="6" t="s">
        <v>154</v>
      </c>
    </row>
    <row r="9" customFormat="false" ht="35.05" hidden="false" customHeight="false" outlineLevel="0" collapsed="false">
      <c r="A9" s="3" t="s">
        <v>156</v>
      </c>
      <c r="B9" s="3" t="n">
        <v>100</v>
      </c>
      <c r="C9" s="3" t="s">
        <v>22</v>
      </c>
      <c r="D9" s="3" t="n">
        <v>100546241</v>
      </c>
      <c r="E9" s="3" t="s">
        <v>145</v>
      </c>
      <c r="F9" s="3" t="s">
        <v>160</v>
      </c>
      <c r="G9" s="3" t="s">
        <v>147</v>
      </c>
      <c r="H9" s="3"/>
      <c r="I9" s="3" t="s">
        <v>148</v>
      </c>
      <c r="J9" s="3" t="s">
        <v>158</v>
      </c>
      <c r="K9" s="3" t="s">
        <v>158</v>
      </c>
      <c r="L9" s="3" t="s">
        <v>30</v>
      </c>
      <c r="M9" s="11" t="b">
        <f aca="false">FALSE()</f>
        <v>0</v>
      </c>
      <c r="N9" s="3" t="s">
        <v>150</v>
      </c>
      <c r="O9" s="3" t="s">
        <v>42</v>
      </c>
      <c r="P9" s="11" t="b">
        <f aca="false">TRUE()</f>
        <v>1</v>
      </c>
      <c r="Q9" s="3" t="s">
        <v>151</v>
      </c>
      <c r="R9" s="6" t="s">
        <v>154</v>
      </c>
    </row>
    <row r="10" customFormat="false" ht="23.85" hidden="false" customHeight="false" outlineLevel="0" collapsed="false">
      <c r="A10" s="3" t="s">
        <v>144</v>
      </c>
      <c r="B10" s="3" t="n">
        <v>467</v>
      </c>
      <c r="C10" s="3" t="s">
        <v>36</v>
      </c>
      <c r="D10" s="3" t="s">
        <v>36</v>
      </c>
      <c r="E10" s="3" t="s">
        <v>161</v>
      </c>
      <c r="F10" s="3" t="s">
        <v>162</v>
      </c>
      <c r="G10" s="3" t="s">
        <v>147</v>
      </c>
      <c r="H10" s="3"/>
      <c r="I10" s="3" t="s">
        <v>148</v>
      </c>
      <c r="J10" s="3" t="s">
        <v>149</v>
      </c>
      <c r="K10" s="3" t="s">
        <v>149</v>
      </c>
      <c r="L10" s="3" t="s">
        <v>42</v>
      </c>
      <c r="M10" s="11" t="b">
        <f aca="false">FALSE()</f>
        <v>0</v>
      </c>
      <c r="N10" s="3" t="s">
        <v>150</v>
      </c>
      <c r="O10" s="3" t="s">
        <v>42</v>
      </c>
      <c r="P10" s="11" t="b">
        <f aca="false">TRUE()</f>
        <v>1</v>
      </c>
      <c r="Q10" s="3" t="s">
        <v>151</v>
      </c>
      <c r="R10" s="6" t="s">
        <v>163</v>
      </c>
    </row>
    <row r="11" customFormat="false" ht="23.85" hidden="false" customHeight="false" outlineLevel="0" collapsed="false">
      <c r="A11" s="3" t="s">
        <v>144</v>
      </c>
      <c r="B11" s="3" t="n">
        <v>468</v>
      </c>
      <c r="C11" s="3" t="s">
        <v>36</v>
      </c>
      <c r="D11" s="3" t="s">
        <v>36</v>
      </c>
      <c r="E11" s="3" t="s">
        <v>161</v>
      </c>
      <c r="F11" s="3" t="s">
        <v>164</v>
      </c>
      <c r="G11" s="3" t="s">
        <v>147</v>
      </c>
      <c r="H11" s="3"/>
      <c r="I11" s="3" t="s">
        <v>148</v>
      </c>
      <c r="J11" s="3" t="s">
        <v>149</v>
      </c>
      <c r="K11" s="3" t="s">
        <v>149</v>
      </c>
      <c r="L11" s="3" t="s">
        <v>42</v>
      </c>
      <c r="M11" s="11" t="b">
        <f aca="false">FALSE()</f>
        <v>0</v>
      </c>
      <c r="N11" s="3" t="s">
        <v>150</v>
      </c>
      <c r="O11" s="3" t="s">
        <v>42</v>
      </c>
      <c r="P11" s="11" t="b">
        <f aca="false">TRUE()</f>
        <v>1</v>
      </c>
      <c r="Q11" s="3" t="s">
        <v>151</v>
      </c>
      <c r="R11" s="12" t="s">
        <v>165</v>
      </c>
    </row>
    <row r="12" customFormat="false" ht="35.05" hidden="false" customHeight="false" outlineLevel="0" collapsed="false">
      <c r="A12" s="3" t="s">
        <v>156</v>
      </c>
      <c r="B12" s="3" t="n">
        <v>140</v>
      </c>
      <c r="C12" s="3" t="s">
        <v>36</v>
      </c>
      <c r="D12" s="3" t="s">
        <v>36</v>
      </c>
      <c r="E12" s="3" t="s">
        <v>161</v>
      </c>
      <c r="F12" s="3" t="s">
        <v>166</v>
      </c>
      <c r="G12" s="3" t="s">
        <v>147</v>
      </c>
      <c r="H12" s="3"/>
      <c r="I12" s="3" t="s">
        <v>148</v>
      </c>
      <c r="J12" s="3" t="s">
        <v>158</v>
      </c>
      <c r="K12" s="3" t="s">
        <v>158</v>
      </c>
      <c r="L12" s="3" t="s">
        <v>42</v>
      </c>
      <c r="M12" s="11" t="b">
        <f aca="false">FALSE()</f>
        <v>0</v>
      </c>
      <c r="N12" s="3" t="s">
        <v>150</v>
      </c>
      <c r="O12" s="3" t="s">
        <v>42</v>
      </c>
      <c r="P12" s="11" t="b">
        <f aca="false">TRUE()</f>
        <v>1</v>
      </c>
      <c r="Q12" s="3" t="s">
        <v>151</v>
      </c>
      <c r="R12" s="12" t="s">
        <v>165</v>
      </c>
    </row>
    <row r="13" customFormat="false" ht="35.05" hidden="false" customHeight="false" outlineLevel="0" collapsed="false">
      <c r="A13" s="3" t="s">
        <v>156</v>
      </c>
      <c r="B13" s="3" t="n">
        <v>141</v>
      </c>
      <c r="C13" s="3" t="s">
        <v>36</v>
      </c>
      <c r="D13" s="3" t="s">
        <v>36</v>
      </c>
      <c r="E13" s="3" t="s">
        <v>161</v>
      </c>
      <c r="F13" s="3" t="s">
        <v>167</v>
      </c>
      <c r="G13" s="3" t="s">
        <v>147</v>
      </c>
      <c r="H13" s="3"/>
      <c r="I13" s="3" t="s">
        <v>148</v>
      </c>
      <c r="J13" s="3" t="s">
        <v>158</v>
      </c>
      <c r="K13" s="3" t="s">
        <v>158</v>
      </c>
      <c r="L13" s="3" t="s">
        <v>42</v>
      </c>
      <c r="M13" s="11" t="b">
        <f aca="false">FALSE()</f>
        <v>0</v>
      </c>
      <c r="N13" s="3" t="s">
        <v>150</v>
      </c>
      <c r="O13" s="3" t="s">
        <v>42</v>
      </c>
      <c r="P13" s="11" t="b">
        <f aca="false">TRUE()</f>
        <v>1</v>
      </c>
      <c r="Q13" s="3" t="s">
        <v>151</v>
      </c>
      <c r="R13" s="6" t="s">
        <v>163</v>
      </c>
    </row>
    <row r="14" customFormat="false" ht="35.05" hidden="false" customHeight="false" outlineLevel="0" collapsed="false">
      <c r="A14" s="3" t="s">
        <v>156</v>
      </c>
      <c r="B14" s="3" t="n">
        <v>142</v>
      </c>
      <c r="C14" s="3" t="s">
        <v>36</v>
      </c>
      <c r="D14" s="3" t="s">
        <v>36</v>
      </c>
      <c r="E14" s="3" t="s">
        <v>161</v>
      </c>
      <c r="F14" s="3" t="s">
        <v>168</v>
      </c>
      <c r="G14" s="3" t="s">
        <v>147</v>
      </c>
      <c r="H14" s="3"/>
      <c r="I14" s="3" t="s">
        <v>148</v>
      </c>
      <c r="J14" s="3" t="s">
        <v>158</v>
      </c>
      <c r="K14" s="3" t="s">
        <v>158</v>
      </c>
      <c r="L14" s="3" t="s">
        <v>42</v>
      </c>
      <c r="M14" s="11" t="b">
        <f aca="false">FALSE()</f>
        <v>0</v>
      </c>
      <c r="N14" s="3" t="s">
        <v>150</v>
      </c>
      <c r="O14" s="3" t="s">
        <v>42</v>
      </c>
      <c r="P14" s="11" t="b">
        <f aca="false">TRUE()</f>
        <v>1</v>
      </c>
      <c r="Q14" s="3" t="s">
        <v>151</v>
      </c>
      <c r="R14" s="12" t="s">
        <v>165</v>
      </c>
    </row>
    <row r="15" customFormat="false" ht="35.05" hidden="false" customHeight="false" outlineLevel="0" collapsed="false">
      <c r="A15" s="3" t="s">
        <v>144</v>
      </c>
      <c r="B15" s="3" t="n">
        <v>469</v>
      </c>
      <c r="C15" s="3" t="s">
        <v>45</v>
      </c>
      <c r="D15" s="3" t="s">
        <v>45</v>
      </c>
      <c r="E15" s="3" t="s">
        <v>169</v>
      </c>
      <c r="F15" s="3" t="s">
        <v>170</v>
      </c>
      <c r="G15" s="3" t="s">
        <v>147</v>
      </c>
      <c r="H15" s="3"/>
      <c r="I15" s="3" t="s">
        <v>148</v>
      </c>
      <c r="J15" s="3" t="s">
        <v>149</v>
      </c>
      <c r="K15" s="3" t="s">
        <v>149</v>
      </c>
      <c r="L15" s="3" t="s">
        <v>42</v>
      </c>
      <c r="M15" s="11" t="b">
        <f aca="false">FALSE()</f>
        <v>0</v>
      </c>
      <c r="N15" s="3" t="s">
        <v>150</v>
      </c>
      <c r="O15" s="3" t="s">
        <v>42</v>
      </c>
      <c r="P15" s="11" t="b">
        <f aca="false">TRUE()</f>
        <v>1</v>
      </c>
      <c r="Q15" s="3" t="s">
        <v>151</v>
      </c>
      <c r="R15" s="6" t="s">
        <v>163</v>
      </c>
    </row>
    <row r="16" customFormat="false" ht="23.85" hidden="false" customHeight="false" outlineLevel="0" collapsed="false">
      <c r="A16" s="3" t="s">
        <v>144</v>
      </c>
      <c r="B16" s="3" t="n">
        <v>470</v>
      </c>
      <c r="C16" s="3" t="s">
        <v>45</v>
      </c>
      <c r="D16" s="3" t="s">
        <v>45</v>
      </c>
      <c r="E16" s="3" t="s">
        <v>169</v>
      </c>
      <c r="F16" s="3" t="s">
        <v>171</v>
      </c>
      <c r="G16" s="3" t="s">
        <v>147</v>
      </c>
      <c r="H16" s="3"/>
      <c r="I16" s="3" t="s">
        <v>148</v>
      </c>
      <c r="J16" s="3" t="s">
        <v>149</v>
      </c>
      <c r="K16" s="3" t="s">
        <v>149</v>
      </c>
      <c r="L16" s="3" t="s">
        <v>42</v>
      </c>
      <c r="M16" s="11" t="b">
        <f aca="false">FALSE()</f>
        <v>0</v>
      </c>
      <c r="N16" s="3" t="s">
        <v>150</v>
      </c>
      <c r="O16" s="3" t="s">
        <v>42</v>
      </c>
      <c r="P16" s="11" t="b">
        <f aca="false">TRUE()</f>
        <v>1</v>
      </c>
      <c r="Q16" s="3" t="s">
        <v>151</v>
      </c>
      <c r="R16" s="12" t="s">
        <v>165</v>
      </c>
    </row>
    <row r="17" customFormat="false" ht="23.85" hidden="false" customHeight="false" outlineLevel="0" collapsed="false">
      <c r="A17" s="3" t="s">
        <v>144</v>
      </c>
      <c r="B17" s="3" t="n">
        <v>471</v>
      </c>
      <c r="C17" s="3" t="s">
        <v>45</v>
      </c>
      <c r="D17" s="3" t="s">
        <v>45</v>
      </c>
      <c r="E17" s="3" t="s">
        <v>169</v>
      </c>
      <c r="F17" s="3" t="s">
        <v>172</v>
      </c>
      <c r="G17" s="3" t="s">
        <v>147</v>
      </c>
      <c r="H17" s="3"/>
      <c r="I17" s="3" t="s">
        <v>148</v>
      </c>
      <c r="J17" s="3" t="s">
        <v>149</v>
      </c>
      <c r="K17" s="3" t="s">
        <v>149</v>
      </c>
      <c r="L17" s="3" t="s">
        <v>42</v>
      </c>
      <c r="M17" s="11" t="b">
        <f aca="false">FALSE()</f>
        <v>0</v>
      </c>
      <c r="N17" s="3" t="s">
        <v>150</v>
      </c>
      <c r="O17" s="3" t="s">
        <v>42</v>
      </c>
      <c r="P17" s="11" t="b">
        <f aca="false">TRUE()</f>
        <v>1</v>
      </c>
      <c r="Q17" s="3" t="s">
        <v>151</v>
      </c>
      <c r="R17" s="12" t="s">
        <v>165</v>
      </c>
    </row>
    <row r="18" customFormat="false" ht="35.05" hidden="false" customHeight="false" outlineLevel="0" collapsed="false">
      <c r="A18" s="3" t="s">
        <v>156</v>
      </c>
      <c r="B18" s="3" t="n">
        <v>143</v>
      </c>
      <c r="C18" s="3" t="s">
        <v>45</v>
      </c>
      <c r="D18" s="3" t="s">
        <v>45</v>
      </c>
      <c r="E18" s="3" t="s">
        <v>169</v>
      </c>
      <c r="F18" s="3" t="s">
        <v>173</v>
      </c>
      <c r="G18" s="3" t="s">
        <v>147</v>
      </c>
      <c r="H18" s="3"/>
      <c r="I18" s="3" t="s">
        <v>148</v>
      </c>
      <c r="J18" s="3" t="s">
        <v>158</v>
      </c>
      <c r="K18" s="3" t="s">
        <v>158</v>
      </c>
      <c r="L18" s="3" t="s">
        <v>42</v>
      </c>
      <c r="M18" s="11" t="b">
        <f aca="false">FALSE()</f>
        <v>0</v>
      </c>
      <c r="N18" s="3" t="s">
        <v>150</v>
      </c>
      <c r="O18" s="3" t="s">
        <v>42</v>
      </c>
      <c r="P18" s="11" t="b">
        <f aca="false">TRUE()</f>
        <v>1</v>
      </c>
      <c r="Q18" s="3" t="s">
        <v>151</v>
      </c>
      <c r="R18" s="12" t="s">
        <v>165</v>
      </c>
    </row>
    <row r="19" customFormat="false" ht="35.05" hidden="false" customHeight="false" outlineLevel="0" collapsed="false">
      <c r="A19" s="3" t="s">
        <v>156</v>
      </c>
      <c r="B19" s="3" t="n">
        <v>144</v>
      </c>
      <c r="C19" s="3" t="s">
        <v>45</v>
      </c>
      <c r="D19" s="3" t="s">
        <v>45</v>
      </c>
      <c r="E19" s="3" t="s">
        <v>169</v>
      </c>
      <c r="F19" s="3" t="s">
        <v>174</v>
      </c>
      <c r="G19" s="3" t="s">
        <v>147</v>
      </c>
      <c r="H19" s="3"/>
      <c r="I19" s="3" t="s">
        <v>148</v>
      </c>
      <c r="J19" s="3" t="s">
        <v>158</v>
      </c>
      <c r="K19" s="3" t="s">
        <v>158</v>
      </c>
      <c r="L19" s="3" t="s">
        <v>42</v>
      </c>
      <c r="M19" s="11" t="b">
        <f aca="false">FALSE()</f>
        <v>0</v>
      </c>
      <c r="N19" s="3" t="s">
        <v>150</v>
      </c>
      <c r="O19" s="3" t="s">
        <v>42</v>
      </c>
      <c r="P19" s="11" t="b">
        <f aca="false">TRUE()</f>
        <v>1</v>
      </c>
      <c r="Q19" s="3" t="s">
        <v>151</v>
      </c>
      <c r="R19" s="6" t="s">
        <v>163</v>
      </c>
    </row>
    <row r="20" customFormat="false" ht="35.05" hidden="false" customHeight="false" outlineLevel="0" collapsed="false">
      <c r="A20" s="3" t="s">
        <v>156</v>
      </c>
      <c r="B20" s="3" t="n">
        <v>145</v>
      </c>
      <c r="C20" s="3" t="s">
        <v>45</v>
      </c>
      <c r="D20" s="3" t="s">
        <v>45</v>
      </c>
      <c r="E20" s="3" t="s">
        <v>169</v>
      </c>
      <c r="F20" s="3" t="s">
        <v>175</v>
      </c>
      <c r="G20" s="3" t="s">
        <v>147</v>
      </c>
      <c r="H20" s="3"/>
      <c r="I20" s="3" t="s">
        <v>148</v>
      </c>
      <c r="J20" s="3" t="s">
        <v>158</v>
      </c>
      <c r="K20" s="3" t="s">
        <v>158</v>
      </c>
      <c r="L20" s="3" t="s">
        <v>42</v>
      </c>
      <c r="M20" s="11" t="b">
        <f aca="false">FALSE()</f>
        <v>0</v>
      </c>
      <c r="N20" s="3" t="s">
        <v>150</v>
      </c>
      <c r="O20" s="3" t="s">
        <v>42</v>
      </c>
      <c r="P20" s="11" t="b">
        <f aca="false">TRUE()</f>
        <v>1</v>
      </c>
      <c r="Q20" s="3" t="s">
        <v>151</v>
      </c>
      <c r="R20" s="12" t="s">
        <v>165</v>
      </c>
    </row>
    <row r="21" customFormat="false" ht="23.85" hidden="false" customHeight="false" outlineLevel="0" collapsed="false">
      <c r="A21" s="3" t="s">
        <v>144</v>
      </c>
      <c r="B21" s="3" t="n">
        <v>443</v>
      </c>
      <c r="C21" s="3" t="s">
        <v>52</v>
      </c>
      <c r="D21" s="3" t="n">
        <v>100611758</v>
      </c>
      <c r="E21" s="3" t="s">
        <v>176</v>
      </c>
      <c r="F21" s="3" t="s">
        <v>177</v>
      </c>
      <c r="G21" s="3" t="s">
        <v>147</v>
      </c>
      <c r="H21" s="3"/>
      <c r="I21" s="3" t="s">
        <v>148</v>
      </c>
      <c r="J21" s="3" t="s">
        <v>149</v>
      </c>
      <c r="K21" s="3" t="s">
        <v>149</v>
      </c>
      <c r="L21" s="3" t="s">
        <v>42</v>
      </c>
      <c r="M21" s="11" t="b">
        <f aca="false">FALSE()</f>
        <v>0</v>
      </c>
      <c r="N21" s="3" t="s">
        <v>150</v>
      </c>
      <c r="O21" s="3" t="s">
        <v>42</v>
      </c>
      <c r="P21" s="11" t="b">
        <f aca="false">TRUE()</f>
        <v>1</v>
      </c>
      <c r="Q21" s="3" t="s">
        <v>151</v>
      </c>
      <c r="R21" s="12" t="s">
        <v>165</v>
      </c>
    </row>
    <row r="22" customFormat="false" ht="35.05" hidden="false" customHeight="false" outlineLevel="0" collapsed="false">
      <c r="A22" s="3" t="s">
        <v>144</v>
      </c>
      <c r="B22" s="3" t="n">
        <v>444</v>
      </c>
      <c r="C22" s="3" t="s">
        <v>52</v>
      </c>
      <c r="D22" s="3" t="n">
        <v>100611758</v>
      </c>
      <c r="E22" s="3" t="s">
        <v>176</v>
      </c>
      <c r="F22" s="3" t="s">
        <v>178</v>
      </c>
      <c r="G22" s="3" t="s">
        <v>147</v>
      </c>
      <c r="H22" s="3"/>
      <c r="I22" s="3" t="s">
        <v>148</v>
      </c>
      <c r="J22" s="3" t="s">
        <v>149</v>
      </c>
      <c r="K22" s="3" t="s">
        <v>149</v>
      </c>
      <c r="L22" s="3" t="s">
        <v>42</v>
      </c>
      <c r="M22" s="11" t="b">
        <f aca="false">FALSE()</f>
        <v>0</v>
      </c>
      <c r="N22" s="3" t="s">
        <v>150</v>
      </c>
      <c r="O22" s="3" t="s">
        <v>42</v>
      </c>
      <c r="P22" s="11" t="b">
        <f aca="false">TRUE()</f>
        <v>1</v>
      </c>
      <c r="Q22" s="3" t="s">
        <v>151</v>
      </c>
      <c r="R22" s="6" t="s">
        <v>163</v>
      </c>
    </row>
    <row r="23" customFormat="false" ht="23.85" hidden="false" customHeight="false" outlineLevel="0" collapsed="false">
      <c r="A23" s="3" t="s">
        <v>144</v>
      </c>
      <c r="B23" s="3" t="n">
        <v>445</v>
      </c>
      <c r="C23" s="3" t="s">
        <v>52</v>
      </c>
      <c r="D23" s="3" t="n">
        <v>100611758</v>
      </c>
      <c r="E23" s="3" t="s">
        <v>176</v>
      </c>
      <c r="F23" s="3" t="s">
        <v>179</v>
      </c>
      <c r="G23" s="3" t="s">
        <v>147</v>
      </c>
      <c r="H23" s="3"/>
      <c r="I23" s="3" t="s">
        <v>148</v>
      </c>
      <c r="J23" s="3" t="s">
        <v>149</v>
      </c>
      <c r="K23" s="3" t="s">
        <v>149</v>
      </c>
      <c r="L23" s="3" t="s">
        <v>42</v>
      </c>
      <c r="M23" s="11" t="b">
        <f aca="false">FALSE()</f>
        <v>0</v>
      </c>
      <c r="N23" s="3" t="s">
        <v>150</v>
      </c>
      <c r="O23" s="3" t="s">
        <v>42</v>
      </c>
      <c r="P23" s="11" t="b">
        <f aca="false">TRUE()</f>
        <v>1</v>
      </c>
      <c r="Q23" s="3" t="s">
        <v>151</v>
      </c>
      <c r="R23" s="6" t="s">
        <v>163</v>
      </c>
    </row>
    <row r="24" customFormat="false" ht="35.05" hidden="false" customHeight="false" outlineLevel="0" collapsed="false">
      <c r="A24" s="3" t="s">
        <v>156</v>
      </c>
      <c r="B24" s="3" t="n">
        <v>110</v>
      </c>
      <c r="C24" s="3" t="s">
        <v>52</v>
      </c>
      <c r="D24" s="3" t="n">
        <v>100611758</v>
      </c>
      <c r="E24" s="3" t="s">
        <v>176</v>
      </c>
      <c r="F24" s="3" t="s">
        <v>180</v>
      </c>
      <c r="G24" s="3" t="s">
        <v>147</v>
      </c>
      <c r="H24" s="3"/>
      <c r="I24" s="3" t="s">
        <v>148</v>
      </c>
      <c r="J24" s="3" t="s">
        <v>158</v>
      </c>
      <c r="K24" s="3" t="s">
        <v>158</v>
      </c>
      <c r="L24" s="3" t="s">
        <v>42</v>
      </c>
      <c r="M24" s="11" t="b">
        <f aca="false">FALSE()</f>
        <v>0</v>
      </c>
      <c r="N24" s="3" t="s">
        <v>150</v>
      </c>
      <c r="O24" s="3" t="s">
        <v>42</v>
      </c>
      <c r="P24" s="11" t="b">
        <f aca="false">TRUE()</f>
        <v>1</v>
      </c>
      <c r="Q24" s="3" t="s">
        <v>151</v>
      </c>
      <c r="R24" s="12" t="s">
        <v>165</v>
      </c>
    </row>
    <row r="25" customFormat="false" ht="35.05" hidden="false" customHeight="false" outlineLevel="0" collapsed="false">
      <c r="A25" s="3" t="s">
        <v>156</v>
      </c>
      <c r="B25" s="3" t="n">
        <v>111</v>
      </c>
      <c r="C25" s="3" t="s">
        <v>52</v>
      </c>
      <c r="D25" s="3" t="n">
        <v>100611758</v>
      </c>
      <c r="E25" s="3" t="s">
        <v>176</v>
      </c>
      <c r="F25" s="3" t="s">
        <v>181</v>
      </c>
      <c r="G25" s="3" t="s">
        <v>147</v>
      </c>
      <c r="H25" s="3"/>
      <c r="I25" s="3" t="s">
        <v>148</v>
      </c>
      <c r="J25" s="3" t="s">
        <v>158</v>
      </c>
      <c r="K25" s="3" t="s">
        <v>158</v>
      </c>
      <c r="L25" s="3" t="s">
        <v>42</v>
      </c>
      <c r="M25" s="11" t="b">
        <f aca="false">FALSE()</f>
        <v>0</v>
      </c>
      <c r="N25" s="3" t="s">
        <v>150</v>
      </c>
      <c r="O25" s="3" t="s">
        <v>42</v>
      </c>
      <c r="P25" s="11" t="b">
        <f aca="false">TRUE()</f>
        <v>1</v>
      </c>
      <c r="Q25" s="3" t="s">
        <v>151</v>
      </c>
      <c r="R25" s="6" t="s">
        <v>163</v>
      </c>
    </row>
    <row r="26" customFormat="false" ht="23.85" hidden="false" customHeight="false" outlineLevel="0" collapsed="false">
      <c r="A26" s="3" t="s">
        <v>156</v>
      </c>
      <c r="B26" s="3" t="n">
        <v>112</v>
      </c>
      <c r="C26" s="3" t="s">
        <v>52</v>
      </c>
      <c r="D26" s="3" t="n">
        <v>100611758</v>
      </c>
      <c r="E26" s="3" t="s">
        <v>176</v>
      </c>
      <c r="F26" s="3" t="s">
        <v>182</v>
      </c>
      <c r="G26" s="3" t="s">
        <v>147</v>
      </c>
      <c r="H26" s="3"/>
      <c r="I26" s="3" t="s">
        <v>148</v>
      </c>
      <c r="J26" s="3" t="s">
        <v>158</v>
      </c>
      <c r="K26" s="3" t="s">
        <v>158</v>
      </c>
      <c r="L26" s="3" t="s">
        <v>42</v>
      </c>
      <c r="M26" s="11" t="b">
        <f aca="false">FALSE()</f>
        <v>0</v>
      </c>
      <c r="N26" s="3" t="s">
        <v>150</v>
      </c>
      <c r="O26" s="3" t="s">
        <v>42</v>
      </c>
      <c r="P26" s="11" t="b">
        <f aca="false">TRUE()</f>
        <v>1</v>
      </c>
      <c r="Q26" s="3" t="s">
        <v>151</v>
      </c>
      <c r="R26" s="6" t="s">
        <v>163</v>
      </c>
    </row>
    <row r="27" customFormat="false" ht="35.05" hidden="false" customHeight="false" outlineLevel="0" collapsed="false">
      <c r="A27" s="3" t="s">
        <v>144</v>
      </c>
      <c r="B27" s="3" t="n">
        <v>419</v>
      </c>
      <c r="C27" s="3" t="s">
        <v>59</v>
      </c>
      <c r="D27" s="3" t="n">
        <v>100531048</v>
      </c>
      <c r="E27" s="3" t="s">
        <v>183</v>
      </c>
      <c r="F27" s="3" t="s">
        <v>184</v>
      </c>
      <c r="G27" s="3" t="s">
        <v>147</v>
      </c>
      <c r="H27" s="3"/>
      <c r="I27" s="3" t="s">
        <v>148</v>
      </c>
      <c r="J27" s="3" t="s">
        <v>149</v>
      </c>
      <c r="K27" s="3" t="s">
        <v>149</v>
      </c>
      <c r="L27" s="3" t="s">
        <v>30</v>
      </c>
      <c r="M27" s="11" t="b">
        <f aca="false">FALSE()</f>
        <v>0</v>
      </c>
      <c r="N27" s="3" t="s">
        <v>150</v>
      </c>
      <c r="O27" s="3" t="s">
        <v>42</v>
      </c>
      <c r="P27" s="11" t="b">
        <f aca="false">FALSE()</f>
        <v>0</v>
      </c>
      <c r="Q27" s="3" t="s">
        <v>151</v>
      </c>
      <c r="R27" s="6" t="s">
        <v>185</v>
      </c>
    </row>
    <row r="28" customFormat="false" ht="23.85" hidden="false" customHeight="false" outlineLevel="0" collapsed="false">
      <c r="A28" s="3" t="s">
        <v>144</v>
      </c>
      <c r="B28" s="3" t="n">
        <v>420</v>
      </c>
      <c r="C28" s="3" t="s">
        <v>59</v>
      </c>
      <c r="D28" s="3" t="n">
        <v>100531048</v>
      </c>
      <c r="E28" s="3" t="s">
        <v>183</v>
      </c>
      <c r="F28" s="3" t="s">
        <v>186</v>
      </c>
      <c r="G28" s="3" t="s">
        <v>147</v>
      </c>
      <c r="H28" s="3"/>
      <c r="I28" s="3" t="s">
        <v>148</v>
      </c>
      <c r="J28" s="3" t="s">
        <v>149</v>
      </c>
      <c r="K28" s="3" t="s">
        <v>149</v>
      </c>
      <c r="L28" s="3" t="s">
        <v>30</v>
      </c>
      <c r="M28" s="11" t="b">
        <f aca="false">FALSE()</f>
        <v>0</v>
      </c>
      <c r="N28" s="3" t="s">
        <v>150</v>
      </c>
      <c r="O28" s="3" t="s">
        <v>42</v>
      </c>
      <c r="P28" s="11" t="b">
        <f aca="false">FALSE()</f>
        <v>0</v>
      </c>
      <c r="Q28" s="3" t="s">
        <v>151</v>
      </c>
      <c r="R28" s="6" t="s">
        <v>185</v>
      </c>
    </row>
    <row r="29" customFormat="false" ht="23.85" hidden="false" customHeight="false" outlineLevel="0" collapsed="false">
      <c r="A29" s="3" t="s">
        <v>144</v>
      </c>
      <c r="B29" s="3" t="n">
        <v>421</v>
      </c>
      <c r="C29" s="3" t="s">
        <v>59</v>
      </c>
      <c r="D29" s="3" t="n">
        <v>100531048</v>
      </c>
      <c r="E29" s="3" t="s">
        <v>183</v>
      </c>
      <c r="F29" s="3" t="s">
        <v>187</v>
      </c>
      <c r="G29" s="3" t="s">
        <v>147</v>
      </c>
      <c r="H29" s="3"/>
      <c r="I29" s="3" t="s">
        <v>148</v>
      </c>
      <c r="J29" s="3" t="s">
        <v>149</v>
      </c>
      <c r="K29" s="3" t="s">
        <v>149</v>
      </c>
      <c r="L29" s="3" t="s">
        <v>30</v>
      </c>
      <c r="M29" s="11" t="b">
        <f aca="false">FALSE()</f>
        <v>0</v>
      </c>
      <c r="N29" s="3" t="s">
        <v>150</v>
      </c>
      <c r="O29" s="3" t="s">
        <v>42</v>
      </c>
      <c r="P29" s="11" t="b">
        <f aca="false">FALSE()</f>
        <v>0</v>
      </c>
      <c r="Q29" s="3" t="s">
        <v>151</v>
      </c>
      <c r="R29" s="6" t="s">
        <v>185</v>
      </c>
    </row>
    <row r="30" customFormat="false" ht="35.05" hidden="false" customHeight="false" outlineLevel="0" collapsed="false">
      <c r="A30" s="3" t="s">
        <v>156</v>
      </c>
      <c r="B30" s="3" t="n">
        <v>86</v>
      </c>
      <c r="C30" s="3" t="s">
        <v>59</v>
      </c>
      <c r="D30" s="3" t="n">
        <v>100531048</v>
      </c>
      <c r="E30" s="3" t="s">
        <v>183</v>
      </c>
      <c r="F30" s="3" t="s">
        <v>188</v>
      </c>
      <c r="G30" s="3" t="s">
        <v>147</v>
      </c>
      <c r="H30" s="3"/>
      <c r="I30" s="3" t="s">
        <v>148</v>
      </c>
      <c r="J30" s="3" t="s">
        <v>158</v>
      </c>
      <c r="K30" s="3" t="s">
        <v>158</v>
      </c>
      <c r="L30" s="3" t="s">
        <v>30</v>
      </c>
      <c r="M30" s="11" t="b">
        <f aca="false">FALSE()</f>
        <v>0</v>
      </c>
      <c r="N30" s="3" t="s">
        <v>150</v>
      </c>
      <c r="O30" s="3" t="s">
        <v>42</v>
      </c>
      <c r="P30" s="11" t="b">
        <f aca="false">FALSE()</f>
        <v>0</v>
      </c>
      <c r="Q30" s="3" t="s">
        <v>151</v>
      </c>
      <c r="R30" s="6" t="s">
        <v>185</v>
      </c>
    </row>
    <row r="31" customFormat="false" ht="35.05" hidden="false" customHeight="false" outlineLevel="0" collapsed="false">
      <c r="A31" s="3" t="s">
        <v>156</v>
      </c>
      <c r="B31" s="3" t="n">
        <v>87</v>
      </c>
      <c r="C31" s="3" t="s">
        <v>59</v>
      </c>
      <c r="D31" s="3" t="n">
        <v>100531048</v>
      </c>
      <c r="E31" s="3" t="s">
        <v>183</v>
      </c>
      <c r="F31" s="3" t="s">
        <v>189</v>
      </c>
      <c r="G31" s="3" t="s">
        <v>147</v>
      </c>
      <c r="H31" s="3"/>
      <c r="I31" s="3" t="s">
        <v>148</v>
      </c>
      <c r="J31" s="3" t="s">
        <v>158</v>
      </c>
      <c r="K31" s="3" t="s">
        <v>158</v>
      </c>
      <c r="L31" s="3" t="s">
        <v>30</v>
      </c>
      <c r="M31" s="11" t="b">
        <f aca="false">FALSE()</f>
        <v>0</v>
      </c>
      <c r="N31" s="3" t="s">
        <v>150</v>
      </c>
      <c r="O31" s="3" t="s">
        <v>42</v>
      </c>
      <c r="P31" s="11" t="b">
        <f aca="false">FALSE()</f>
        <v>0</v>
      </c>
      <c r="Q31" s="3" t="s">
        <v>151</v>
      </c>
      <c r="R31" s="6" t="s">
        <v>185</v>
      </c>
    </row>
    <row r="32" customFormat="false" ht="35.05" hidden="false" customHeight="false" outlineLevel="0" collapsed="false">
      <c r="A32" s="3" t="s">
        <v>156</v>
      </c>
      <c r="B32" s="3" t="n">
        <v>88</v>
      </c>
      <c r="C32" s="3" t="s">
        <v>59</v>
      </c>
      <c r="D32" s="3" t="n">
        <v>100531048</v>
      </c>
      <c r="E32" s="3" t="s">
        <v>183</v>
      </c>
      <c r="F32" s="3" t="s">
        <v>190</v>
      </c>
      <c r="G32" s="3" t="s">
        <v>147</v>
      </c>
      <c r="H32" s="3"/>
      <c r="I32" s="3" t="s">
        <v>148</v>
      </c>
      <c r="J32" s="3" t="s">
        <v>158</v>
      </c>
      <c r="K32" s="3" t="s">
        <v>158</v>
      </c>
      <c r="L32" s="3" t="s">
        <v>30</v>
      </c>
      <c r="M32" s="11" t="b">
        <f aca="false">FALSE()</f>
        <v>0</v>
      </c>
      <c r="N32" s="3" t="s">
        <v>150</v>
      </c>
      <c r="O32" s="3" t="s">
        <v>42</v>
      </c>
      <c r="P32" s="11" t="b">
        <f aca="false">FALSE()</f>
        <v>0</v>
      </c>
      <c r="Q32" s="3" t="s">
        <v>151</v>
      </c>
      <c r="R32" s="6" t="s">
        <v>185</v>
      </c>
    </row>
    <row r="33" customFormat="false" ht="23.85" hidden="false" customHeight="false" outlineLevel="0" collapsed="false">
      <c r="A33" s="3" t="s">
        <v>144</v>
      </c>
      <c r="B33" s="3" t="n">
        <v>422</v>
      </c>
      <c r="C33" s="3" t="s">
        <v>76</v>
      </c>
      <c r="D33" s="3" t="n">
        <v>100531049</v>
      </c>
      <c r="E33" s="3" t="s">
        <v>191</v>
      </c>
      <c r="F33" s="3" t="s">
        <v>192</v>
      </c>
      <c r="G33" s="3" t="s">
        <v>147</v>
      </c>
      <c r="H33" s="3"/>
      <c r="I33" s="3" t="s">
        <v>148</v>
      </c>
      <c r="J33" s="3" t="s">
        <v>149</v>
      </c>
      <c r="K33" s="3" t="s">
        <v>149</v>
      </c>
      <c r="L33" s="3" t="s">
        <v>30</v>
      </c>
      <c r="M33" s="11" t="b">
        <f aca="false">FALSE()</f>
        <v>0</v>
      </c>
      <c r="N33" s="3" t="s">
        <v>150</v>
      </c>
      <c r="O33" s="3" t="s">
        <v>42</v>
      </c>
      <c r="P33" s="11" t="b">
        <f aca="false">TRUE()</f>
        <v>1</v>
      </c>
      <c r="Q33" s="3" t="s">
        <v>151</v>
      </c>
      <c r="R33" s="6" t="s">
        <v>152</v>
      </c>
    </row>
    <row r="34" customFormat="false" ht="35.05" hidden="false" customHeight="false" outlineLevel="0" collapsed="false">
      <c r="A34" s="3" t="s">
        <v>144</v>
      </c>
      <c r="B34" s="3" t="n">
        <v>423</v>
      </c>
      <c r="C34" s="3" t="s">
        <v>76</v>
      </c>
      <c r="D34" s="3" t="n">
        <v>100531049</v>
      </c>
      <c r="E34" s="3" t="s">
        <v>191</v>
      </c>
      <c r="F34" s="3" t="s">
        <v>193</v>
      </c>
      <c r="G34" s="3" t="s">
        <v>147</v>
      </c>
      <c r="H34" s="3"/>
      <c r="I34" s="3" t="s">
        <v>148</v>
      </c>
      <c r="J34" s="3" t="s">
        <v>149</v>
      </c>
      <c r="K34" s="3" t="s">
        <v>149</v>
      </c>
      <c r="L34" s="3" t="s">
        <v>30</v>
      </c>
      <c r="M34" s="11" t="b">
        <f aca="false">FALSE()</f>
        <v>0</v>
      </c>
      <c r="N34" s="3" t="s">
        <v>150</v>
      </c>
      <c r="O34" s="3" t="s">
        <v>42</v>
      </c>
      <c r="P34" s="11" t="b">
        <f aca="false">TRUE()</f>
        <v>1</v>
      </c>
      <c r="Q34" s="3" t="s">
        <v>151</v>
      </c>
      <c r="R34" s="6" t="s">
        <v>152</v>
      </c>
    </row>
    <row r="35" customFormat="false" ht="23.85" hidden="false" customHeight="false" outlineLevel="0" collapsed="false">
      <c r="A35" s="3" t="s">
        <v>144</v>
      </c>
      <c r="B35" s="3" t="n">
        <v>424</v>
      </c>
      <c r="C35" s="3" t="s">
        <v>76</v>
      </c>
      <c r="D35" s="3" t="n">
        <v>100531049</v>
      </c>
      <c r="E35" s="3" t="s">
        <v>191</v>
      </c>
      <c r="F35" s="3" t="s">
        <v>194</v>
      </c>
      <c r="G35" s="3" t="s">
        <v>147</v>
      </c>
      <c r="H35" s="3"/>
      <c r="I35" s="3" t="s">
        <v>148</v>
      </c>
      <c r="J35" s="3" t="s">
        <v>149</v>
      </c>
      <c r="K35" s="3" t="s">
        <v>149</v>
      </c>
      <c r="L35" s="3" t="s">
        <v>30</v>
      </c>
      <c r="M35" s="11" t="b">
        <f aca="false">FALSE()</f>
        <v>0</v>
      </c>
      <c r="N35" s="3" t="s">
        <v>150</v>
      </c>
      <c r="O35" s="3" t="s">
        <v>42</v>
      </c>
      <c r="P35" s="11" t="b">
        <f aca="false">TRUE()</f>
        <v>1</v>
      </c>
      <c r="Q35" s="3" t="s">
        <v>151</v>
      </c>
      <c r="R35" s="6" t="s">
        <v>152</v>
      </c>
    </row>
    <row r="36" customFormat="false" ht="35.05" hidden="false" customHeight="false" outlineLevel="0" collapsed="false">
      <c r="A36" s="3" t="s">
        <v>156</v>
      </c>
      <c r="B36" s="3" t="n">
        <v>89</v>
      </c>
      <c r="C36" s="3" t="s">
        <v>76</v>
      </c>
      <c r="D36" s="3" t="n">
        <v>100531049</v>
      </c>
      <c r="E36" s="3" t="s">
        <v>191</v>
      </c>
      <c r="F36" s="3" t="s">
        <v>195</v>
      </c>
      <c r="G36" s="3" t="s">
        <v>147</v>
      </c>
      <c r="H36" s="3"/>
      <c r="I36" s="3" t="s">
        <v>148</v>
      </c>
      <c r="J36" s="3" t="s">
        <v>158</v>
      </c>
      <c r="K36" s="3" t="s">
        <v>158</v>
      </c>
      <c r="L36" s="3" t="s">
        <v>30</v>
      </c>
      <c r="M36" s="11" t="b">
        <f aca="false">FALSE()</f>
        <v>0</v>
      </c>
      <c r="N36" s="3" t="s">
        <v>150</v>
      </c>
      <c r="O36" s="3" t="s">
        <v>42</v>
      </c>
      <c r="P36" s="11" t="b">
        <f aca="false">TRUE()</f>
        <v>1</v>
      </c>
      <c r="Q36" s="3" t="s">
        <v>151</v>
      </c>
      <c r="R36" s="6" t="s">
        <v>152</v>
      </c>
    </row>
    <row r="37" customFormat="false" ht="35.05" hidden="false" customHeight="false" outlineLevel="0" collapsed="false">
      <c r="A37" s="3" t="s">
        <v>156</v>
      </c>
      <c r="B37" s="3" t="n">
        <v>90</v>
      </c>
      <c r="C37" s="3" t="s">
        <v>76</v>
      </c>
      <c r="D37" s="3" t="n">
        <v>100531049</v>
      </c>
      <c r="E37" s="3" t="s">
        <v>191</v>
      </c>
      <c r="F37" s="3" t="s">
        <v>196</v>
      </c>
      <c r="G37" s="3" t="s">
        <v>147</v>
      </c>
      <c r="H37" s="3"/>
      <c r="I37" s="3" t="s">
        <v>148</v>
      </c>
      <c r="J37" s="3" t="s">
        <v>158</v>
      </c>
      <c r="K37" s="3" t="s">
        <v>158</v>
      </c>
      <c r="L37" s="3" t="s">
        <v>30</v>
      </c>
      <c r="M37" s="11" t="b">
        <f aca="false">FALSE()</f>
        <v>0</v>
      </c>
      <c r="N37" s="3" t="s">
        <v>150</v>
      </c>
      <c r="O37" s="3" t="s">
        <v>42</v>
      </c>
      <c r="P37" s="11" t="b">
        <f aca="false">TRUE()</f>
        <v>1</v>
      </c>
      <c r="Q37" s="3" t="s">
        <v>151</v>
      </c>
      <c r="R37" s="6" t="s">
        <v>152</v>
      </c>
    </row>
    <row r="38" customFormat="false" ht="35.05" hidden="false" customHeight="false" outlineLevel="0" collapsed="false">
      <c r="A38" s="3" t="s">
        <v>156</v>
      </c>
      <c r="B38" s="3" t="n">
        <v>91</v>
      </c>
      <c r="C38" s="3" t="s">
        <v>76</v>
      </c>
      <c r="D38" s="3" t="n">
        <v>100531049</v>
      </c>
      <c r="E38" s="3" t="s">
        <v>191</v>
      </c>
      <c r="F38" s="3" t="s">
        <v>197</v>
      </c>
      <c r="G38" s="3" t="s">
        <v>147</v>
      </c>
      <c r="H38" s="3"/>
      <c r="I38" s="3" t="s">
        <v>148</v>
      </c>
      <c r="J38" s="3" t="s">
        <v>158</v>
      </c>
      <c r="K38" s="3" t="s">
        <v>158</v>
      </c>
      <c r="L38" s="3" t="s">
        <v>30</v>
      </c>
      <c r="M38" s="11" t="b">
        <f aca="false">FALSE()</f>
        <v>0</v>
      </c>
      <c r="N38" s="3" t="s">
        <v>150</v>
      </c>
      <c r="O38" s="3" t="s">
        <v>42</v>
      </c>
      <c r="P38" s="11" t="b">
        <f aca="false">TRUE()</f>
        <v>1</v>
      </c>
      <c r="Q38" s="3" t="s">
        <v>151</v>
      </c>
      <c r="R38" s="6" t="s">
        <v>152</v>
      </c>
    </row>
    <row r="39" customFormat="false" ht="23.85" hidden="false" customHeight="false" outlineLevel="0" collapsed="false">
      <c r="A39" s="3" t="s">
        <v>144</v>
      </c>
      <c r="B39" s="3" t="n">
        <v>425</v>
      </c>
      <c r="C39" s="3" t="s">
        <v>85</v>
      </c>
      <c r="D39" s="3" t="n">
        <v>100531050</v>
      </c>
      <c r="E39" s="3" t="s">
        <v>198</v>
      </c>
      <c r="F39" s="3" t="s">
        <v>199</v>
      </c>
      <c r="G39" s="3" t="s">
        <v>147</v>
      </c>
      <c r="H39" s="3"/>
      <c r="I39" s="3" t="s">
        <v>148</v>
      </c>
      <c r="J39" s="3" t="s">
        <v>149</v>
      </c>
      <c r="K39" s="3" t="s">
        <v>149</v>
      </c>
      <c r="L39" s="3" t="s">
        <v>30</v>
      </c>
      <c r="M39" s="11" t="b">
        <f aca="false">FALSE()</f>
        <v>0</v>
      </c>
      <c r="N39" s="3" t="s">
        <v>150</v>
      </c>
      <c r="O39" s="3" t="s">
        <v>42</v>
      </c>
      <c r="P39" s="11" t="b">
        <f aca="false">TRUE()</f>
        <v>1</v>
      </c>
      <c r="Q39" s="3" t="s">
        <v>151</v>
      </c>
      <c r="R39" s="6" t="s">
        <v>152</v>
      </c>
    </row>
    <row r="40" customFormat="false" ht="23.85" hidden="false" customHeight="false" outlineLevel="0" collapsed="false">
      <c r="A40" s="3" t="s">
        <v>144</v>
      </c>
      <c r="B40" s="3" t="n">
        <v>426</v>
      </c>
      <c r="C40" s="3" t="s">
        <v>85</v>
      </c>
      <c r="D40" s="3" t="n">
        <v>100531050</v>
      </c>
      <c r="E40" s="3" t="s">
        <v>198</v>
      </c>
      <c r="F40" s="3" t="s">
        <v>200</v>
      </c>
      <c r="G40" s="3" t="s">
        <v>147</v>
      </c>
      <c r="H40" s="3"/>
      <c r="I40" s="3" t="s">
        <v>148</v>
      </c>
      <c r="J40" s="3" t="s">
        <v>149</v>
      </c>
      <c r="K40" s="3" t="s">
        <v>149</v>
      </c>
      <c r="L40" s="3" t="s">
        <v>30</v>
      </c>
      <c r="M40" s="11" t="b">
        <f aca="false">FALSE()</f>
        <v>0</v>
      </c>
      <c r="N40" s="3" t="s">
        <v>150</v>
      </c>
      <c r="O40" s="3" t="s">
        <v>42</v>
      </c>
      <c r="P40" s="11" t="b">
        <f aca="false">TRUE()</f>
        <v>1</v>
      </c>
      <c r="Q40" s="3" t="s">
        <v>151</v>
      </c>
      <c r="R40" s="6" t="s">
        <v>152</v>
      </c>
    </row>
    <row r="41" customFormat="false" ht="23.85" hidden="false" customHeight="false" outlineLevel="0" collapsed="false">
      <c r="A41" s="3" t="s">
        <v>144</v>
      </c>
      <c r="B41" s="3" t="n">
        <v>427</v>
      </c>
      <c r="C41" s="3" t="s">
        <v>85</v>
      </c>
      <c r="D41" s="3" t="n">
        <v>100531050</v>
      </c>
      <c r="E41" s="3" t="s">
        <v>198</v>
      </c>
      <c r="F41" s="3" t="s">
        <v>201</v>
      </c>
      <c r="G41" s="3" t="s">
        <v>147</v>
      </c>
      <c r="H41" s="3"/>
      <c r="I41" s="3" t="s">
        <v>148</v>
      </c>
      <c r="J41" s="3" t="s">
        <v>149</v>
      </c>
      <c r="K41" s="3" t="s">
        <v>149</v>
      </c>
      <c r="L41" s="3" t="s">
        <v>30</v>
      </c>
      <c r="M41" s="11" t="b">
        <f aca="false">FALSE()</f>
        <v>0</v>
      </c>
      <c r="N41" s="3" t="s">
        <v>150</v>
      </c>
      <c r="O41" s="3" t="s">
        <v>42</v>
      </c>
      <c r="P41" s="11" t="b">
        <f aca="false">TRUE()</f>
        <v>1</v>
      </c>
      <c r="Q41" s="3" t="s">
        <v>151</v>
      </c>
      <c r="R41" s="6" t="s">
        <v>152</v>
      </c>
    </row>
    <row r="42" customFormat="false" ht="35.05" hidden="false" customHeight="false" outlineLevel="0" collapsed="false">
      <c r="A42" s="3" t="s">
        <v>156</v>
      </c>
      <c r="B42" s="3" t="n">
        <v>92</v>
      </c>
      <c r="C42" s="3" t="s">
        <v>85</v>
      </c>
      <c r="D42" s="3" t="n">
        <v>100531050</v>
      </c>
      <c r="E42" s="3" t="s">
        <v>198</v>
      </c>
      <c r="F42" s="3" t="s">
        <v>202</v>
      </c>
      <c r="G42" s="3" t="s">
        <v>147</v>
      </c>
      <c r="H42" s="3"/>
      <c r="I42" s="3" t="s">
        <v>148</v>
      </c>
      <c r="J42" s="3" t="s">
        <v>158</v>
      </c>
      <c r="K42" s="3" t="s">
        <v>158</v>
      </c>
      <c r="L42" s="3" t="s">
        <v>30</v>
      </c>
      <c r="M42" s="11" t="b">
        <f aca="false">FALSE()</f>
        <v>0</v>
      </c>
      <c r="N42" s="3" t="s">
        <v>150</v>
      </c>
      <c r="O42" s="3" t="s">
        <v>42</v>
      </c>
      <c r="P42" s="11" t="b">
        <f aca="false">TRUE()</f>
        <v>1</v>
      </c>
      <c r="Q42" s="3" t="s">
        <v>151</v>
      </c>
      <c r="R42" s="6" t="s">
        <v>152</v>
      </c>
    </row>
    <row r="43" customFormat="false" ht="35.05" hidden="false" customHeight="false" outlineLevel="0" collapsed="false">
      <c r="A43" s="3" t="s">
        <v>156</v>
      </c>
      <c r="B43" s="3" t="n">
        <v>93</v>
      </c>
      <c r="C43" s="3" t="s">
        <v>85</v>
      </c>
      <c r="D43" s="3" t="n">
        <v>100531050</v>
      </c>
      <c r="E43" s="3" t="s">
        <v>198</v>
      </c>
      <c r="F43" s="3" t="s">
        <v>203</v>
      </c>
      <c r="G43" s="3" t="s">
        <v>147</v>
      </c>
      <c r="H43" s="3"/>
      <c r="I43" s="3" t="s">
        <v>148</v>
      </c>
      <c r="J43" s="3" t="s">
        <v>158</v>
      </c>
      <c r="K43" s="3" t="s">
        <v>158</v>
      </c>
      <c r="L43" s="3" t="s">
        <v>30</v>
      </c>
      <c r="M43" s="11" t="b">
        <f aca="false">FALSE()</f>
        <v>0</v>
      </c>
      <c r="N43" s="3" t="s">
        <v>150</v>
      </c>
      <c r="O43" s="3" t="s">
        <v>42</v>
      </c>
      <c r="P43" s="11" t="b">
        <f aca="false">TRUE()</f>
        <v>1</v>
      </c>
      <c r="Q43" s="3" t="s">
        <v>151</v>
      </c>
      <c r="R43" s="6" t="s">
        <v>152</v>
      </c>
    </row>
    <row r="44" customFormat="false" ht="35.05" hidden="false" customHeight="false" outlineLevel="0" collapsed="false">
      <c r="A44" s="3" t="s">
        <v>156</v>
      </c>
      <c r="B44" s="3" t="n">
        <v>94</v>
      </c>
      <c r="C44" s="3" t="s">
        <v>85</v>
      </c>
      <c r="D44" s="3" t="n">
        <v>100531050</v>
      </c>
      <c r="E44" s="3" t="s">
        <v>198</v>
      </c>
      <c r="F44" s="3" t="s">
        <v>204</v>
      </c>
      <c r="G44" s="3" t="s">
        <v>147</v>
      </c>
      <c r="H44" s="3"/>
      <c r="I44" s="3" t="s">
        <v>148</v>
      </c>
      <c r="J44" s="3" t="s">
        <v>158</v>
      </c>
      <c r="K44" s="3" t="s">
        <v>158</v>
      </c>
      <c r="L44" s="3" t="s">
        <v>30</v>
      </c>
      <c r="M44" s="11" t="b">
        <f aca="false">FALSE()</f>
        <v>0</v>
      </c>
      <c r="N44" s="3" t="s">
        <v>150</v>
      </c>
      <c r="O44" s="3" t="s">
        <v>42</v>
      </c>
      <c r="P44" s="11" t="b">
        <f aca="false">TRUE()</f>
        <v>1</v>
      </c>
      <c r="Q44" s="3" t="s">
        <v>151</v>
      </c>
      <c r="R44" s="6" t="s">
        <v>152</v>
      </c>
    </row>
    <row r="45" customFormat="false" ht="23.85" hidden="false" customHeight="false" outlineLevel="0" collapsed="false">
      <c r="A45" s="3" t="s">
        <v>144</v>
      </c>
      <c r="B45" s="3" t="n">
        <v>428</v>
      </c>
      <c r="C45" s="3" t="s">
        <v>92</v>
      </c>
      <c r="D45" s="3" t="n">
        <v>100531051</v>
      </c>
      <c r="E45" s="3" t="s">
        <v>205</v>
      </c>
      <c r="F45" s="3" t="s">
        <v>206</v>
      </c>
      <c r="G45" s="3" t="s">
        <v>147</v>
      </c>
      <c r="H45" s="3"/>
      <c r="I45" s="3" t="s">
        <v>148</v>
      </c>
      <c r="J45" s="3" t="s">
        <v>149</v>
      </c>
      <c r="K45" s="3" t="s">
        <v>149</v>
      </c>
      <c r="L45" s="3" t="s">
        <v>30</v>
      </c>
      <c r="M45" s="11" t="b">
        <f aca="false">FALSE()</f>
        <v>0</v>
      </c>
      <c r="N45" s="3" t="s">
        <v>150</v>
      </c>
      <c r="O45" s="3" t="s">
        <v>42</v>
      </c>
      <c r="P45" s="11" t="b">
        <f aca="false">TRUE()</f>
        <v>1</v>
      </c>
      <c r="Q45" s="3" t="s">
        <v>151</v>
      </c>
      <c r="R45" s="6" t="s">
        <v>152</v>
      </c>
    </row>
    <row r="46" customFormat="false" ht="23.85" hidden="false" customHeight="false" outlineLevel="0" collapsed="false">
      <c r="A46" s="3" t="s">
        <v>144</v>
      </c>
      <c r="B46" s="3" t="n">
        <v>429</v>
      </c>
      <c r="C46" s="3" t="s">
        <v>92</v>
      </c>
      <c r="D46" s="3" t="n">
        <v>100531051</v>
      </c>
      <c r="E46" s="3" t="s">
        <v>205</v>
      </c>
      <c r="F46" s="3" t="s">
        <v>207</v>
      </c>
      <c r="G46" s="3" t="s">
        <v>147</v>
      </c>
      <c r="H46" s="3"/>
      <c r="I46" s="3" t="s">
        <v>148</v>
      </c>
      <c r="J46" s="3" t="s">
        <v>149</v>
      </c>
      <c r="K46" s="3" t="s">
        <v>149</v>
      </c>
      <c r="L46" s="3" t="s">
        <v>30</v>
      </c>
      <c r="M46" s="11" t="b">
        <f aca="false">FALSE()</f>
        <v>0</v>
      </c>
      <c r="N46" s="3" t="s">
        <v>150</v>
      </c>
      <c r="O46" s="3" t="s">
        <v>42</v>
      </c>
      <c r="P46" s="11" t="b">
        <f aca="false">TRUE()</f>
        <v>1</v>
      </c>
      <c r="Q46" s="3" t="s">
        <v>151</v>
      </c>
      <c r="R46" s="6" t="s">
        <v>152</v>
      </c>
    </row>
    <row r="47" customFormat="false" ht="23.85" hidden="false" customHeight="false" outlineLevel="0" collapsed="false">
      <c r="A47" s="3" t="s">
        <v>144</v>
      </c>
      <c r="B47" s="3" t="n">
        <v>430</v>
      </c>
      <c r="C47" s="3" t="s">
        <v>92</v>
      </c>
      <c r="D47" s="3" t="n">
        <v>100531051</v>
      </c>
      <c r="E47" s="3" t="s">
        <v>205</v>
      </c>
      <c r="F47" s="3" t="s">
        <v>208</v>
      </c>
      <c r="G47" s="3" t="s">
        <v>147</v>
      </c>
      <c r="H47" s="3"/>
      <c r="I47" s="3" t="s">
        <v>148</v>
      </c>
      <c r="J47" s="3" t="s">
        <v>149</v>
      </c>
      <c r="K47" s="3" t="s">
        <v>149</v>
      </c>
      <c r="L47" s="3" t="s">
        <v>30</v>
      </c>
      <c r="M47" s="11" t="b">
        <f aca="false">FALSE()</f>
        <v>0</v>
      </c>
      <c r="N47" s="3" t="s">
        <v>150</v>
      </c>
      <c r="O47" s="3" t="s">
        <v>42</v>
      </c>
      <c r="P47" s="11" t="b">
        <f aca="false">TRUE()</f>
        <v>1</v>
      </c>
      <c r="Q47" s="3" t="s">
        <v>151</v>
      </c>
      <c r="R47" s="6" t="s">
        <v>152</v>
      </c>
    </row>
    <row r="48" customFormat="false" ht="35.05" hidden="false" customHeight="false" outlineLevel="0" collapsed="false">
      <c r="A48" s="3" t="s">
        <v>156</v>
      </c>
      <c r="B48" s="3" t="n">
        <v>95</v>
      </c>
      <c r="C48" s="3" t="s">
        <v>92</v>
      </c>
      <c r="D48" s="3" t="n">
        <v>100531051</v>
      </c>
      <c r="E48" s="3" t="s">
        <v>205</v>
      </c>
      <c r="F48" s="3" t="s">
        <v>209</v>
      </c>
      <c r="G48" s="3" t="s">
        <v>147</v>
      </c>
      <c r="H48" s="3"/>
      <c r="I48" s="3" t="s">
        <v>148</v>
      </c>
      <c r="J48" s="3" t="s">
        <v>158</v>
      </c>
      <c r="K48" s="3" t="s">
        <v>158</v>
      </c>
      <c r="L48" s="3" t="s">
        <v>30</v>
      </c>
      <c r="M48" s="11" t="b">
        <f aca="false">FALSE()</f>
        <v>0</v>
      </c>
      <c r="N48" s="3" t="s">
        <v>150</v>
      </c>
      <c r="O48" s="3" t="s">
        <v>42</v>
      </c>
      <c r="P48" s="11" t="b">
        <f aca="false">TRUE()</f>
        <v>1</v>
      </c>
      <c r="Q48" s="3" t="s">
        <v>151</v>
      </c>
      <c r="R48" s="6" t="s">
        <v>152</v>
      </c>
    </row>
    <row r="49" customFormat="false" ht="35.05" hidden="false" customHeight="false" outlineLevel="0" collapsed="false">
      <c r="A49" s="3" t="s">
        <v>156</v>
      </c>
      <c r="B49" s="3" t="n">
        <v>96</v>
      </c>
      <c r="C49" s="3" t="s">
        <v>92</v>
      </c>
      <c r="D49" s="3" t="n">
        <v>100531051</v>
      </c>
      <c r="E49" s="3" t="s">
        <v>205</v>
      </c>
      <c r="F49" s="3" t="s">
        <v>210</v>
      </c>
      <c r="G49" s="3" t="s">
        <v>147</v>
      </c>
      <c r="H49" s="3"/>
      <c r="I49" s="3" t="s">
        <v>148</v>
      </c>
      <c r="J49" s="3" t="s">
        <v>158</v>
      </c>
      <c r="K49" s="3" t="s">
        <v>158</v>
      </c>
      <c r="L49" s="3" t="s">
        <v>30</v>
      </c>
      <c r="M49" s="11" t="b">
        <f aca="false">FALSE()</f>
        <v>0</v>
      </c>
      <c r="N49" s="3" t="s">
        <v>150</v>
      </c>
      <c r="O49" s="3" t="s">
        <v>42</v>
      </c>
      <c r="P49" s="11" t="b">
        <f aca="false">TRUE()</f>
        <v>1</v>
      </c>
      <c r="Q49" s="3" t="s">
        <v>151</v>
      </c>
      <c r="R49" s="6" t="s">
        <v>152</v>
      </c>
    </row>
    <row r="50" customFormat="false" ht="35.05" hidden="false" customHeight="false" outlineLevel="0" collapsed="false">
      <c r="A50" s="3" t="s">
        <v>156</v>
      </c>
      <c r="B50" s="3" t="n">
        <v>97</v>
      </c>
      <c r="C50" s="3" t="s">
        <v>92</v>
      </c>
      <c r="D50" s="3" t="n">
        <v>100531051</v>
      </c>
      <c r="E50" s="3" t="s">
        <v>205</v>
      </c>
      <c r="F50" s="3" t="s">
        <v>211</v>
      </c>
      <c r="G50" s="3" t="s">
        <v>147</v>
      </c>
      <c r="H50" s="3"/>
      <c r="I50" s="3" t="s">
        <v>148</v>
      </c>
      <c r="J50" s="3" t="s">
        <v>158</v>
      </c>
      <c r="K50" s="3" t="s">
        <v>158</v>
      </c>
      <c r="L50" s="3" t="s">
        <v>30</v>
      </c>
      <c r="M50" s="11" t="b">
        <f aca="false">FALSE()</f>
        <v>0</v>
      </c>
      <c r="N50" s="3" t="s">
        <v>150</v>
      </c>
      <c r="O50" s="3" t="s">
        <v>42</v>
      </c>
      <c r="P50" s="11" t="b">
        <f aca="false">TRUE()</f>
        <v>1</v>
      </c>
      <c r="Q50" s="3" t="s">
        <v>151</v>
      </c>
      <c r="R50" s="6" t="s">
        <v>152</v>
      </c>
    </row>
    <row r="51" customFormat="false" ht="23.85" hidden="false" customHeight="false" outlineLevel="0" collapsed="false">
      <c r="A51" s="3" t="s">
        <v>144</v>
      </c>
      <c r="B51" s="3" t="n">
        <v>437</v>
      </c>
      <c r="C51" s="3" t="s">
        <v>99</v>
      </c>
      <c r="D51" s="3" t="n">
        <v>100592069</v>
      </c>
      <c r="E51" s="3" t="s">
        <v>212</v>
      </c>
      <c r="F51" s="3" t="s">
        <v>213</v>
      </c>
      <c r="G51" s="3" t="s">
        <v>147</v>
      </c>
      <c r="H51" s="3"/>
      <c r="I51" s="3" t="s">
        <v>148</v>
      </c>
      <c r="J51" s="3" t="s">
        <v>149</v>
      </c>
      <c r="K51" s="3" t="s">
        <v>149</v>
      </c>
      <c r="L51" s="3" t="s">
        <v>30</v>
      </c>
      <c r="M51" s="11" t="b">
        <f aca="false">FALSE()</f>
        <v>0</v>
      </c>
      <c r="N51" s="3" t="s">
        <v>150</v>
      </c>
      <c r="O51" s="3" t="s">
        <v>42</v>
      </c>
      <c r="P51" s="11" t="b">
        <f aca="false">TRUE()</f>
        <v>1</v>
      </c>
      <c r="Q51" s="3" t="s">
        <v>151</v>
      </c>
      <c r="R51" s="6" t="s">
        <v>152</v>
      </c>
    </row>
    <row r="52" customFormat="false" ht="23.85" hidden="false" customHeight="false" outlineLevel="0" collapsed="false">
      <c r="A52" s="3" t="s">
        <v>144</v>
      </c>
      <c r="B52" s="3" t="n">
        <v>438</v>
      </c>
      <c r="C52" s="3" t="s">
        <v>99</v>
      </c>
      <c r="D52" s="3" t="n">
        <v>100592069</v>
      </c>
      <c r="E52" s="3" t="s">
        <v>212</v>
      </c>
      <c r="F52" s="3" t="s">
        <v>214</v>
      </c>
      <c r="G52" s="3" t="s">
        <v>147</v>
      </c>
      <c r="H52" s="3"/>
      <c r="I52" s="3" t="s">
        <v>148</v>
      </c>
      <c r="J52" s="3" t="s">
        <v>149</v>
      </c>
      <c r="K52" s="3" t="s">
        <v>149</v>
      </c>
      <c r="L52" s="3" t="s">
        <v>30</v>
      </c>
      <c r="M52" s="11" t="b">
        <f aca="false">FALSE()</f>
        <v>0</v>
      </c>
      <c r="N52" s="3" t="s">
        <v>150</v>
      </c>
      <c r="O52" s="3" t="s">
        <v>42</v>
      </c>
      <c r="P52" s="11" t="b">
        <f aca="false">TRUE()</f>
        <v>1</v>
      </c>
      <c r="Q52" s="3" t="s">
        <v>151</v>
      </c>
      <c r="R52" s="6" t="s">
        <v>152</v>
      </c>
    </row>
    <row r="53" customFormat="false" ht="23.85" hidden="false" customHeight="false" outlineLevel="0" collapsed="false">
      <c r="A53" s="3" t="s">
        <v>144</v>
      </c>
      <c r="B53" s="3" t="n">
        <v>439</v>
      </c>
      <c r="C53" s="3" t="s">
        <v>99</v>
      </c>
      <c r="D53" s="3" t="n">
        <v>100592069</v>
      </c>
      <c r="E53" s="3" t="s">
        <v>212</v>
      </c>
      <c r="F53" s="3" t="s">
        <v>215</v>
      </c>
      <c r="G53" s="3" t="s">
        <v>147</v>
      </c>
      <c r="H53" s="3"/>
      <c r="I53" s="3" t="s">
        <v>148</v>
      </c>
      <c r="J53" s="3" t="s">
        <v>149</v>
      </c>
      <c r="K53" s="3" t="s">
        <v>149</v>
      </c>
      <c r="L53" s="3" t="s">
        <v>30</v>
      </c>
      <c r="M53" s="11" t="b">
        <f aca="false">FALSE()</f>
        <v>0</v>
      </c>
      <c r="N53" s="3" t="s">
        <v>150</v>
      </c>
      <c r="O53" s="3" t="s">
        <v>42</v>
      </c>
      <c r="P53" s="11" t="b">
        <f aca="false">TRUE()</f>
        <v>1</v>
      </c>
      <c r="Q53" s="3" t="s">
        <v>151</v>
      </c>
      <c r="R53" s="6" t="s">
        <v>152</v>
      </c>
    </row>
    <row r="54" customFormat="false" ht="35.05" hidden="false" customHeight="false" outlineLevel="0" collapsed="false">
      <c r="A54" s="3" t="s">
        <v>156</v>
      </c>
      <c r="B54" s="3" t="n">
        <v>104</v>
      </c>
      <c r="C54" s="3" t="s">
        <v>99</v>
      </c>
      <c r="D54" s="3" t="n">
        <v>100592069</v>
      </c>
      <c r="E54" s="3" t="s">
        <v>212</v>
      </c>
      <c r="F54" s="3" t="s">
        <v>216</v>
      </c>
      <c r="G54" s="3" t="s">
        <v>147</v>
      </c>
      <c r="H54" s="3"/>
      <c r="I54" s="3" t="s">
        <v>148</v>
      </c>
      <c r="J54" s="3" t="s">
        <v>158</v>
      </c>
      <c r="K54" s="3" t="s">
        <v>158</v>
      </c>
      <c r="L54" s="3" t="s">
        <v>30</v>
      </c>
      <c r="M54" s="11" t="b">
        <f aca="false">FALSE()</f>
        <v>0</v>
      </c>
      <c r="N54" s="3" t="s">
        <v>150</v>
      </c>
      <c r="O54" s="3" t="s">
        <v>42</v>
      </c>
      <c r="P54" s="11" t="b">
        <f aca="false">TRUE()</f>
        <v>1</v>
      </c>
      <c r="Q54" s="3" t="s">
        <v>151</v>
      </c>
      <c r="R54" s="6" t="s">
        <v>152</v>
      </c>
    </row>
    <row r="55" customFormat="false" ht="35.05" hidden="false" customHeight="false" outlineLevel="0" collapsed="false">
      <c r="A55" s="3" t="s">
        <v>156</v>
      </c>
      <c r="B55" s="3" t="n">
        <v>105</v>
      </c>
      <c r="C55" s="3" t="s">
        <v>99</v>
      </c>
      <c r="D55" s="3" t="n">
        <v>100592069</v>
      </c>
      <c r="E55" s="3" t="s">
        <v>212</v>
      </c>
      <c r="F55" s="3" t="s">
        <v>217</v>
      </c>
      <c r="G55" s="3" t="s">
        <v>147</v>
      </c>
      <c r="H55" s="3"/>
      <c r="I55" s="3" t="s">
        <v>148</v>
      </c>
      <c r="J55" s="3" t="s">
        <v>158</v>
      </c>
      <c r="K55" s="3" t="s">
        <v>158</v>
      </c>
      <c r="L55" s="3" t="s">
        <v>30</v>
      </c>
      <c r="M55" s="11" t="b">
        <f aca="false">FALSE()</f>
        <v>0</v>
      </c>
      <c r="N55" s="3" t="s">
        <v>150</v>
      </c>
      <c r="O55" s="3" t="s">
        <v>42</v>
      </c>
      <c r="P55" s="11" t="b">
        <f aca="false">TRUE()</f>
        <v>1</v>
      </c>
      <c r="Q55" s="3" t="s">
        <v>151</v>
      </c>
      <c r="R55" s="6" t="s">
        <v>152</v>
      </c>
    </row>
    <row r="56" customFormat="false" ht="35.05" hidden="false" customHeight="false" outlineLevel="0" collapsed="false">
      <c r="A56" s="3" t="s">
        <v>156</v>
      </c>
      <c r="B56" s="3" t="n">
        <v>106</v>
      </c>
      <c r="C56" s="3" t="s">
        <v>99</v>
      </c>
      <c r="D56" s="3" t="n">
        <v>100592069</v>
      </c>
      <c r="E56" s="3" t="s">
        <v>212</v>
      </c>
      <c r="F56" s="3" t="s">
        <v>218</v>
      </c>
      <c r="G56" s="3" t="s">
        <v>147</v>
      </c>
      <c r="H56" s="3"/>
      <c r="I56" s="3" t="s">
        <v>148</v>
      </c>
      <c r="J56" s="3" t="s">
        <v>158</v>
      </c>
      <c r="K56" s="3" t="s">
        <v>158</v>
      </c>
      <c r="L56" s="3" t="s">
        <v>30</v>
      </c>
      <c r="M56" s="11" t="b">
        <f aca="false">FALSE()</f>
        <v>0</v>
      </c>
      <c r="N56" s="3" t="s">
        <v>150</v>
      </c>
      <c r="O56" s="3" t="s">
        <v>42</v>
      </c>
      <c r="P56" s="11" t="b">
        <f aca="false">TRUE()</f>
        <v>1</v>
      </c>
      <c r="Q56" s="3" t="s">
        <v>151</v>
      </c>
      <c r="R56" s="6" t="s">
        <v>152</v>
      </c>
    </row>
    <row r="57" customFormat="false" ht="23.85" hidden="false" customHeight="false" outlineLevel="0" collapsed="false">
      <c r="A57" s="3" t="s">
        <v>144</v>
      </c>
      <c r="B57" s="3" t="n">
        <v>434</v>
      </c>
      <c r="C57" s="3" t="s">
        <v>108</v>
      </c>
      <c r="D57" s="3" t="n">
        <v>100592068</v>
      </c>
      <c r="E57" s="3" t="s">
        <v>219</v>
      </c>
      <c r="F57" s="3" t="s">
        <v>220</v>
      </c>
      <c r="G57" s="3" t="s">
        <v>147</v>
      </c>
      <c r="H57" s="3"/>
      <c r="I57" s="3" t="s">
        <v>148</v>
      </c>
      <c r="J57" s="3" t="s">
        <v>149</v>
      </c>
      <c r="K57" s="3" t="s">
        <v>149</v>
      </c>
      <c r="L57" s="3" t="s">
        <v>30</v>
      </c>
      <c r="M57" s="11" t="b">
        <f aca="false">FALSE()</f>
        <v>0</v>
      </c>
      <c r="N57" s="3" t="s">
        <v>150</v>
      </c>
      <c r="O57" s="3" t="s">
        <v>42</v>
      </c>
      <c r="P57" s="11" t="b">
        <f aca="false">TRUE()</f>
        <v>1</v>
      </c>
      <c r="Q57" s="3" t="s">
        <v>151</v>
      </c>
      <c r="R57" s="6" t="s">
        <v>152</v>
      </c>
    </row>
    <row r="58" customFormat="false" ht="23.85" hidden="false" customHeight="false" outlineLevel="0" collapsed="false">
      <c r="A58" s="3" t="s">
        <v>144</v>
      </c>
      <c r="B58" s="3" t="n">
        <v>435</v>
      </c>
      <c r="C58" s="3" t="s">
        <v>108</v>
      </c>
      <c r="D58" s="3" t="n">
        <v>100592068</v>
      </c>
      <c r="E58" s="3" t="s">
        <v>219</v>
      </c>
      <c r="F58" s="3" t="s">
        <v>221</v>
      </c>
      <c r="G58" s="3" t="s">
        <v>147</v>
      </c>
      <c r="H58" s="3"/>
      <c r="I58" s="3" t="s">
        <v>148</v>
      </c>
      <c r="J58" s="3" t="s">
        <v>149</v>
      </c>
      <c r="K58" s="3" t="s">
        <v>149</v>
      </c>
      <c r="L58" s="3" t="s">
        <v>30</v>
      </c>
      <c r="M58" s="11" t="b">
        <f aca="false">FALSE()</f>
        <v>0</v>
      </c>
      <c r="N58" s="3" t="s">
        <v>150</v>
      </c>
      <c r="O58" s="3" t="s">
        <v>42</v>
      </c>
      <c r="P58" s="11" t="b">
        <f aca="false">TRUE()</f>
        <v>1</v>
      </c>
      <c r="Q58" s="3" t="s">
        <v>151</v>
      </c>
      <c r="R58" s="6" t="s">
        <v>152</v>
      </c>
    </row>
    <row r="59" customFormat="false" ht="23.85" hidden="false" customHeight="false" outlineLevel="0" collapsed="false">
      <c r="A59" s="3" t="s">
        <v>144</v>
      </c>
      <c r="B59" s="3" t="n">
        <v>436</v>
      </c>
      <c r="C59" s="3" t="s">
        <v>108</v>
      </c>
      <c r="D59" s="3" t="n">
        <v>100592068</v>
      </c>
      <c r="E59" s="3" t="s">
        <v>219</v>
      </c>
      <c r="F59" s="3" t="s">
        <v>222</v>
      </c>
      <c r="G59" s="3" t="s">
        <v>147</v>
      </c>
      <c r="H59" s="3"/>
      <c r="I59" s="3" t="s">
        <v>148</v>
      </c>
      <c r="J59" s="3" t="s">
        <v>149</v>
      </c>
      <c r="K59" s="3" t="s">
        <v>149</v>
      </c>
      <c r="L59" s="3" t="s">
        <v>30</v>
      </c>
      <c r="M59" s="11" t="b">
        <f aca="false">FALSE()</f>
        <v>0</v>
      </c>
      <c r="N59" s="3" t="s">
        <v>150</v>
      </c>
      <c r="O59" s="3" t="s">
        <v>42</v>
      </c>
      <c r="P59" s="11" t="b">
        <f aca="false">TRUE()</f>
        <v>1</v>
      </c>
      <c r="Q59" s="3" t="s">
        <v>151</v>
      </c>
      <c r="R59" s="6" t="s">
        <v>152</v>
      </c>
    </row>
    <row r="60" customFormat="false" ht="35.05" hidden="false" customHeight="false" outlineLevel="0" collapsed="false">
      <c r="A60" s="3" t="s">
        <v>156</v>
      </c>
      <c r="B60" s="3" t="n">
        <v>101</v>
      </c>
      <c r="C60" s="3" t="s">
        <v>108</v>
      </c>
      <c r="D60" s="3" t="n">
        <v>100592068</v>
      </c>
      <c r="E60" s="3" t="s">
        <v>219</v>
      </c>
      <c r="F60" s="3" t="s">
        <v>223</v>
      </c>
      <c r="G60" s="3" t="s">
        <v>147</v>
      </c>
      <c r="H60" s="3"/>
      <c r="I60" s="3" t="s">
        <v>148</v>
      </c>
      <c r="J60" s="3" t="s">
        <v>158</v>
      </c>
      <c r="K60" s="3" t="s">
        <v>158</v>
      </c>
      <c r="L60" s="3" t="s">
        <v>30</v>
      </c>
      <c r="M60" s="11" t="b">
        <f aca="false">FALSE()</f>
        <v>0</v>
      </c>
      <c r="N60" s="3" t="s">
        <v>150</v>
      </c>
      <c r="O60" s="3" t="s">
        <v>42</v>
      </c>
      <c r="P60" s="11" t="b">
        <f aca="false">TRUE()</f>
        <v>1</v>
      </c>
      <c r="Q60" s="3" t="s">
        <v>151</v>
      </c>
      <c r="R60" s="6" t="s">
        <v>152</v>
      </c>
    </row>
    <row r="61" customFormat="false" ht="35.05" hidden="false" customHeight="false" outlineLevel="0" collapsed="false">
      <c r="A61" s="3" t="s">
        <v>156</v>
      </c>
      <c r="B61" s="3" t="n">
        <v>102</v>
      </c>
      <c r="C61" s="3" t="s">
        <v>108</v>
      </c>
      <c r="D61" s="3" t="n">
        <v>100592068</v>
      </c>
      <c r="E61" s="3" t="s">
        <v>219</v>
      </c>
      <c r="F61" s="3" t="s">
        <v>224</v>
      </c>
      <c r="G61" s="3" t="s">
        <v>147</v>
      </c>
      <c r="H61" s="3"/>
      <c r="I61" s="3" t="s">
        <v>148</v>
      </c>
      <c r="J61" s="3" t="s">
        <v>158</v>
      </c>
      <c r="K61" s="3" t="s">
        <v>158</v>
      </c>
      <c r="L61" s="3" t="s">
        <v>30</v>
      </c>
      <c r="M61" s="11" t="b">
        <f aca="false">FALSE()</f>
        <v>0</v>
      </c>
      <c r="N61" s="3" t="s">
        <v>150</v>
      </c>
      <c r="O61" s="3" t="s">
        <v>42</v>
      </c>
      <c r="P61" s="11" t="b">
        <f aca="false">TRUE()</f>
        <v>1</v>
      </c>
      <c r="Q61" s="3" t="s">
        <v>151</v>
      </c>
      <c r="R61" s="6" t="s">
        <v>152</v>
      </c>
    </row>
    <row r="62" customFormat="false" ht="35.05" hidden="false" customHeight="false" outlineLevel="0" collapsed="false">
      <c r="A62" s="3" t="s">
        <v>156</v>
      </c>
      <c r="B62" s="3" t="n">
        <v>103</v>
      </c>
      <c r="C62" s="3" t="s">
        <v>108</v>
      </c>
      <c r="D62" s="3" t="n">
        <v>100592068</v>
      </c>
      <c r="E62" s="3" t="s">
        <v>219</v>
      </c>
      <c r="F62" s="3" t="s">
        <v>225</v>
      </c>
      <c r="G62" s="3" t="s">
        <v>147</v>
      </c>
      <c r="H62" s="3"/>
      <c r="I62" s="3" t="s">
        <v>148</v>
      </c>
      <c r="J62" s="3" t="s">
        <v>158</v>
      </c>
      <c r="K62" s="3" t="s">
        <v>158</v>
      </c>
      <c r="L62" s="3" t="s">
        <v>30</v>
      </c>
      <c r="M62" s="11" t="b">
        <f aca="false">FALSE()</f>
        <v>0</v>
      </c>
      <c r="N62" s="3" t="s">
        <v>150</v>
      </c>
      <c r="O62" s="3" t="s">
        <v>42</v>
      </c>
      <c r="P62" s="11" t="b">
        <f aca="false">TRUE()</f>
        <v>1</v>
      </c>
      <c r="Q62" s="3" t="s">
        <v>151</v>
      </c>
      <c r="R62" s="6" t="s">
        <v>152</v>
      </c>
    </row>
  </sheetData>
  <autoFilter ref="A3:R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2"/>
    <col collapsed="false" customWidth="true" hidden="false" outlineLevel="0" max="4" min="4" style="0" width="50"/>
    <col collapsed="false" customWidth="true" hidden="false" outlineLevel="0" max="5" min="5" style="0" width="80"/>
    <col collapsed="false" customWidth="true" hidden="false" outlineLevel="0" max="6" min="6" style="0" width="20"/>
  </cols>
  <sheetData>
    <row r="1" customFormat="false" ht="15" hidden="false" customHeight="false" outlineLevel="0" collapsed="false">
      <c r="A1" s="1" t="s">
        <v>226</v>
      </c>
    </row>
    <row r="3" customFormat="false" ht="15" hidden="false" customHeight="false" outlineLevel="0" collapsed="false">
      <c r="A3" s="2" t="s">
        <v>227</v>
      </c>
      <c r="B3" s="2" t="s">
        <v>228</v>
      </c>
      <c r="C3" s="2" t="s">
        <v>229</v>
      </c>
      <c r="D3" s="2" t="s">
        <v>230</v>
      </c>
      <c r="E3" s="2" t="s">
        <v>231</v>
      </c>
      <c r="F3" s="2" t="s">
        <v>232</v>
      </c>
    </row>
    <row r="4" customFormat="false" ht="150" hidden="false" customHeight="true" outlineLevel="0" collapsed="false">
      <c r="A4" s="3" t="s">
        <v>233</v>
      </c>
      <c r="B4" s="3" t="s">
        <v>234</v>
      </c>
      <c r="C4" s="3" t="s">
        <v>235</v>
      </c>
      <c r="D4" s="3" t="s">
        <v>236</v>
      </c>
      <c r="E4" s="3" t="s">
        <v>237</v>
      </c>
      <c r="F4" s="7" t="s">
        <v>238</v>
      </c>
    </row>
    <row r="5" customFormat="false" ht="150" hidden="false" customHeight="true" outlineLevel="0" collapsed="false">
      <c r="A5" s="3" t="s">
        <v>239</v>
      </c>
      <c r="B5" s="3" t="s">
        <v>240</v>
      </c>
      <c r="C5" s="3" t="s">
        <v>241</v>
      </c>
      <c r="D5" s="3" t="s">
        <v>242</v>
      </c>
      <c r="E5" s="3" t="s">
        <v>243</v>
      </c>
      <c r="F5" s="7" t="s">
        <v>244</v>
      </c>
    </row>
    <row r="6" customFormat="false" ht="150" hidden="false" customHeight="true" outlineLevel="0" collapsed="false">
      <c r="A6" s="3" t="s">
        <v>245</v>
      </c>
      <c r="B6" s="3" t="s">
        <v>246</v>
      </c>
      <c r="C6" s="3" t="s">
        <v>247</v>
      </c>
      <c r="D6" s="3" t="s">
        <v>248</v>
      </c>
      <c r="E6" s="3" t="s">
        <v>249</v>
      </c>
      <c r="F6" s="7" t="s">
        <v>250</v>
      </c>
    </row>
    <row r="7" customFormat="false" ht="150" hidden="false" customHeight="true" outlineLevel="0" collapsed="false">
      <c r="A7" s="3" t="s">
        <v>251</v>
      </c>
      <c r="B7" s="3" t="s">
        <v>252</v>
      </c>
      <c r="C7" s="3" t="s">
        <v>253</v>
      </c>
      <c r="D7" s="3" t="s">
        <v>254</v>
      </c>
      <c r="E7" s="3" t="s">
        <v>255</v>
      </c>
      <c r="F7" s="6" t="s">
        <v>256</v>
      </c>
    </row>
    <row r="8" customFormat="false" ht="150" hidden="false" customHeight="true" outlineLevel="0" collapsed="false">
      <c r="A8" s="3" t="s">
        <v>257</v>
      </c>
      <c r="B8" s="3" t="s">
        <v>258</v>
      </c>
      <c r="C8" s="3" t="s">
        <v>259</v>
      </c>
      <c r="D8" s="3" t="s">
        <v>260</v>
      </c>
      <c r="E8" s="3" t="s">
        <v>261</v>
      </c>
      <c r="F8" s="6" t="s">
        <v>262</v>
      </c>
    </row>
    <row r="9" customFormat="false" ht="150" hidden="false" customHeight="true" outlineLevel="0" collapsed="false">
      <c r="A9" s="3" t="s">
        <v>263</v>
      </c>
      <c r="B9" s="3" t="s">
        <v>264</v>
      </c>
      <c r="C9" s="3" t="s">
        <v>265</v>
      </c>
      <c r="D9" s="3" t="s">
        <v>266</v>
      </c>
      <c r="E9" s="3" t="s">
        <v>267</v>
      </c>
      <c r="F9" s="6" t="s">
        <v>268</v>
      </c>
    </row>
    <row r="10" customFormat="false" ht="150" hidden="false" customHeight="true" outlineLevel="0" collapsed="false">
      <c r="A10" s="3" t="s">
        <v>269</v>
      </c>
      <c r="B10" s="3" t="s">
        <v>270</v>
      </c>
      <c r="C10" s="3" t="s">
        <v>271</v>
      </c>
      <c r="D10" s="3" t="s">
        <v>272</v>
      </c>
      <c r="E10" s="3" t="s">
        <v>273</v>
      </c>
      <c r="F10" s="6" t="s">
        <v>268</v>
      </c>
    </row>
    <row r="11" customFormat="false" ht="150" hidden="false" customHeight="true" outlineLevel="0" collapsed="false">
      <c r="A11" s="3" t="s">
        <v>274</v>
      </c>
      <c r="B11" s="3" t="s">
        <v>275</v>
      </c>
      <c r="C11" s="3" t="s">
        <v>276</v>
      </c>
      <c r="D11" s="3" t="s">
        <v>277</v>
      </c>
      <c r="E11" s="3" t="s">
        <v>278</v>
      </c>
      <c r="F11" s="6" t="s">
        <v>279</v>
      </c>
    </row>
    <row r="12" customFormat="false" ht="150" hidden="false" customHeight="true" outlineLevel="0" collapsed="false">
      <c r="A12" s="3" t="s">
        <v>280</v>
      </c>
      <c r="B12" s="3" t="s">
        <v>281</v>
      </c>
      <c r="C12" s="3" t="s">
        <v>282</v>
      </c>
      <c r="D12" s="3" t="s">
        <v>283</v>
      </c>
      <c r="E12" s="3" t="s">
        <v>284</v>
      </c>
      <c r="F12" s="6"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4" min="3" style="0" width="60"/>
    <col collapsed="false" customWidth="true" hidden="false" outlineLevel="0" max="5" min="5" style="0" width="20"/>
    <col collapsed="false" customWidth="true" hidden="false" outlineLevel="0" max="6" min="6" style="0" width="12"/>
  </cols>
  <sheetData>
    <row r="1" customFormat="false" ht="15" hidden="false" customHeight="false" outlineLevel="0" collapsed="false">
      <c r="A1" s="1" t="s">
        <v>285</v>
      </c>
    </row>
    <row r="3" customFormat="false" ht="15" hidden="false" customHeight="false" outlineLevel="0" collapsed="false">
      <c r="A3" s="2" t="s">
        <v>1</v>
      </c>
      <c r="B3" s="2" t="s">
        <v>286</v>
      </c>
      <c r="C3" s="2" t="s">
        <v>287</v>
      </c>
      <c r="D3" s="2" t="s">
        <v>288</v>
      </c>
      <c r="E3" s="2" t="s">
        <v>289</v>
      </c>
      <c r="F3" s="2" t="s">
        <v>290</v>
      </c>
    </row>
    <row r="4" customFormat="false" ht="46.25" hidden="false" customHeight="false" outlineLevel="0" collapsed="false">
      <c r="A4" s="3" t="n">
        <v>1</v>
      </c>
      <c r="B4" s="3" t="s">
        <v>291</v>
      </c>
      <c r="C4" s="3" t="s">
        <v>292</v>
      </c>
      <c r="D4" s="3" t="s">
        <v>293</v>
      </c>
      <c r="E4" s="3" t="s">
        <v>294</v>
      </c>
      <c r="F4" s="7" t="s">
        <v>295</v>
      </c>
    </row>
    <row r="5" customFormat="false" ht="23.85" hidden="false" customHeight="false" outlineLevel="0" collapsed="false">
      <c r="A5" s="3" t="n">
        <v>2</v>
      </c>
      <c r="B5" s="3" t="s">
        <v>291</v>
      </c>
      <c r="C5" s="3" t="s">
        <v>296</v>
      </c>
      <c r="D5" s="3" t="s">
        <v>297</v>
      </c>
      <c r="E5" s="3" t="s">
        <v>298</v>
      </c>
      <c r="F5" s="7" t="s">
        <v>295</v>
      </c>
    </row>
    <row r="6" customFormat="false" ht="46.25" hidden="false" customHeight="false" outlineLevel="0" collapsed="false">
      <c r="A6" s="3" t="n">
        <v>3</v>
      </c>
      <c r="B6" s="3" t="s">
        <v>299</v>
      </c>
      <c r="C6" s="3" t="s">
        <v>300</v>
      </c>
      <c r="D6" s="3" t="s">
        <v>301</v>
      </c>
      <c r="E6" s="3" t="s">
        <v>302</v>
      </c>
      <c r="F6" s="7" t="s">
        <v>295</v>
      </c>
    </row>
    <row r="7" customFormat="false" ht="35.05" hidden="false" customHeight="false" outlineLevel="0" collapsed="false">
      <c r="A7" s="3" t="n">
        <v>4</v>
      </c>
      <c r="B7" s="3" t="s">
        <v>303</v>
      </c>
      <c r="C7" s="3" t="s">
        <v>304</v>
      </c>
      <c r="D7" s="3" t="s">
        <v>305</v>
      </c>
      <c r="E7" s="3" t="s">
        <v>306</v>
      </c>
      <c r="F7" s="7" t="s">
        <v>295</v>
      </c>
    </row>
    <row r="8" customFormat="false" ht="23.85" hidden="false" customHeight="false" outlineLevel="0" collapsed="false">
      <c r="A8" s="3" t="n">
        <v>5</v>
      </c>
      <c r="B8" s="3" t="s">
        <v>59</v>
      </c>
      <c r="C8" s="3" t="s">
        <v>307</v>
      </c>
      <c r="D8" s="3" t="s">
        <v>308</v>
      </c>
      <c r="E8" s="3" t="s">
        <v>298</v>
      </c>
      <c r="F8" s="7" t="s">
        <v>295</v>
      </c>
    </row>
    <row r="9" customFormat="false" ht="23.85" hidden="false" customHeight="false" outlineLevel="0" collapsed="false">
      <c r="A9" s="3" t="n">
        <v>6</v>
      </c>
      <c r="B9" s="3" t="s">
        <v>309</v>
      </c>
      <c r="C9" s="3" t="s">
        <v>310</v>
      </c>
      <c r="D9" s="3" t="s">
        <v>311</v>
      </c>
      <c r="E9" s="3" t="s">
        <v>302</v>
      </c>
      <c r="F9" s="7" t="s">
        <v>295</v>
      </c>
    </row>
    <row r="10" customFormat="false" ht="23.85" hidden="false" customHeight="false" outlineLevel="0" collapsed="false">
      <c r="A10" s="3" t="n">
        <v>7</v>
      </c>
      <c r="B10" s="3" t="s">
        <v>108</v>
      </c>
      <c r="C10" s="3" t="s">
        <v>312</v>
      </c>
      <c r="D10" s="3" t="s">
        <v>313</v>
      </c>
      <c r="E10" s="3" t="s">
        <v>314</v>
      </c>
      <c r="F10" s="7" t="s">
        <v>295</v>
      </c>
    </row>
    <row r="11" customFormat="false" ht="23.85" hidden="false" customHeight="false" outlineLevel="0" collapsed="false">
      <c r="A11" s="3" t="n">
        <v>8</v>
      </c>
      <c r="B11" s="3" t="s">
        <v>299</v>
      </c>
      <c r="C11" s="3" t="s">
        <v>315</v>
      </c>
      <c r="D11" s="3" t="s">
        <v>316</v>
      </c>
      <c r="E11" s="3" t="s">
        <v>317</v>
      </c>
      <c r="F11" s="7" t="s">
        <v>295</v>
      </c>
    </row>
    <row r="12" customFormat="false" ht="46.25" hidden="false" customHeight="false" outlineLevel="0" collapsed="false">
      <c r="A12" s="3" t="n">
        <v>9</v>
      </c>
      <c r="B12" s="3" t="s">
        <v>318</v>
      </c>
      <c r="C12" s="3" t="s">
        <v>319</v>
      </c>
      <c r="D12" s="3" t="s">
        <v>320</v>
      </c>
      <c r="E12" s="3" t="s">
        <v>314</v>
      </c>
      <c r="F12" s="7" t="s">
        <v>295</v>
      </c>
    </row>
    <row r="13" customFormat="false" ht="23.85" hidden="false" customHeight="false" outlineLevel="0" collapsed="false">
      <c r="A13" s="3" t="n">
        <v>10</v>
      </c>
      <c r="B13" s="3" t="s">
        <v>321</v>
      </c>
      <c r="C13" s="3" t="s">
        <v>322</v>
      </c>
      <c r="D13" s="3" t="s">
        <v>323</v>
      </c>
      <c r="E13" s="3" t="s">
        <v>314</v>
      </c>
      <c r="F13" s="7" t="s">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324</v>
      </c>
    </row>
    <row r="3" customFormat="false" ht="15" hidden="false" customHeight="false" outlineLevel="0" collapsed="false">
      <c r="A3" s="13" t="s">
        <v>325</v>
      </c>
    </row>
    <row r="4" customFormat="false" ht="15" hidden="false" customHeight="false" outlineLevel="0" collapsed="false">
      <c r="A4" s="13"/>
    </row>
    <row r="5" customFormat="false" ht="23.85" hidden="false" customHeight="false" outlineLevel="0" collapsed="false">
      <c r="A5" s="13" t="s">
        <v>326</v>
      </c>
    </row>
    <row r="6" customFormat="false" ht="15" hidden="false" customHeight="false" outlineLevel="0" collapsed="false">
      <c r="A6" s="13"/>
    </row>
    <row r="7" customFormat="false" ht="15" hidden="false" customHeight="false" outlineLevel="0" collapsed="false">
      <c r="A7" s="13" t="s">
        <v>327</v>
      </c>
    </row>
    <row r="8" customFormat="false" ht="35.05" hidden="false" customHeight="false" outlineLevel="0" collapsed="false">
      <c r="A8" s="13" t="s">
        <v>328</v>
      </c>
    </row>
    <row r="9" customFormat="false" ht="35.05" hidden="false" customHeight="false" outlineLevel="0" collapsed="false">
      <c r="A9" s="13" t="s">
        <v>329</v>
      </c>
    </row>
    <row r="10" customFormat="false" ht="15" hidden="false" customHeight="false" outlineLevel="0" collapsed="false">
      <c r="A10" s="13"/>
    </row>
    <row r="11" customFormat="false" ht="15" hidden="false" customHeight="false" outlineLevel="0" collapsed="false">
      <c r="A11" s="13" t="s">
        <v>330</v>
      </c>
    </row>
    <row r="12" customFormat="false" ht="23.85" hidden="false" customHeight="false" outlineLevel="0" collapsed="false">
      <c r="A12" s="13" t="s">
        <v>331</v>
      </c>
    </row>
    <row r="13" customFormat="false" ht="35.05" hidden="false" customHeight="false" outlineLevel="0" collapsed="false">
      <c r="A13" s="13" t="s">
        <v>332</v>
      </c>
    </row>
    <row r="14" customFormat="false" ht="23.85" hidden="false" customHeight="false" outlineLevel="0" collapsed="false">
      <c r="A14" s="13" t="s">
        <v>333</v>
      </c>
    </row>
    <row r="15" customFormat="false" ht="15" hidden="false" customHeight="false" outlineLevel="0" collapsed="false">
      <c r="A15" s="13" t="s">
        <v>334</v>
      </c>
    </row>
    <row r="16" customFormat="false" ht="15" hidden="false" customHeight="false" outlineLevel="0" collapsed="false">
      <c r="A16" s="13" t="s">
        <v>335</v>
      </c>
    </row>
    <row r="17" customFormat="false" ht="15" hidden="false" customHeight="false" outlineLevel="0" collapsed="false">
      <c r="A17" s="13"/>
    </row>
    <row r="18" customFormat="false" ht="15" hidden="false" customHeight="false" outlineLevel="0" collapsed="false">
      <c r="A18" s="13" t="s">
        <v>336</v>
      </c>
    </row>
    <row r="19" customFormat="false" ht="15" hidden="false" customHeight="false" outlineLevel="0" collapsed="false">
      <c r="A19" s="13"/>
    </row>
    <row r="20" customFormat="false" ht="15" hidden="false" customHeight="false" outlineLevel="0" collapsed="false">
      <c r="A20" s="13" t="s">
        <v>337</v>
      </c>
    </row>
    <row r="21" customFormat="false" ht="15" hidden="false" customHeight="false" outlineLevel="0" collapsed="false">
      <c r="A21" s="13"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2"/>
    <col collapsed="false" customWidth="true" hidden="false" outlineLevel="0" max="3" min="3" style="0" width="60"/>
    <col collapsed="false" customWidth="true" hidden="false" outlineLevel="0" max="4" min="4" style="0" width="50"/>
    <col collapsed="false" customWidth="true" hidden="false" outlineLevel="0" max="5" min="5" style="0" width="36"/>
  </cols>
  <sheetData>
    <row r="1" customFormat="false" ht="15" hidden="false" customHeight="false" outlineLevel="0" collapsed="false">
      <c r="A1" s="1" t="s">
        <v>339</v>
      </c>
    </row>
    <row r="3" customFormat="false" ht="15" hidden="false" customHeight="false" outlineLevel="0" collapsed="false">
      <c r="A3" s="2" t="s">
        <v>340</v>
      </c>
      <c r="B3" s="2" t="s">
        <v>341</v>
      </c>
      <c r="C3" s="2" t="s">
        <v>342</v>
      </c>
      <c r="D3" s="2" t="s">
        <v>343</v>
      </c>
      <c r="E3" s="2" t="s">
        <v>344</v>
      </c>
    </row>
    <row r="4" customFormat="false" ht="23.85" hidden="false" customHeight="false" outlineLevel="0" collapsed="false">
      <c r="A4" s="3" t="s">
        <v>345</v>
      </c>
      <c r="B4" s="3" t="s">
        <v>346</v>
      </c>
      <c r="C4" s="3" t="s">
        <v>347</v>
      </c>
      <c r="D4" s="3" t="s">
        <v>348</v>
      </c>
      <c r="E4" s="3" t="s">
        <v>349</v>
      </c>
    </row>
    <row r="5" customFormat="false" ht="15" hidden="false" customHeight="false" outlineLevel="0" collapsed="false">
      <c r="A5" s="3" t="s">
        <v>345</v>
      </c>
      <c r="B5" s="3" t="s">
        <v>156</v>
      </c>
      <c r="C5" s="3" t="s">
        <v>350</v>
      </c>
      <c r="D5" s="3" t="s">
        <v>351</v>
      </c>
      <c r="E5" s="3" t="s">
        <v>349</v>
      </c>
    </row>
    <row r="6" customFormat="false" ht="23.85" hidden="false" customHeight="false" outlineLevel="0" collapsed="false">
      <c r="A6" s="3" t="s">
        <v>345</v>
      </c>
      <c r="B6" s="3" t="s">
        <v>352</v>
      </c>
      <c r="C6" s="3" t="s">
        <v>353</v>
      </c>
      <c r="D6" s="3" t="s">
        <v>354</v>
      </c>
      <c r="E6" s="3" t="s">
        <v>349</v>
      </c>
    </row>
    <row r="7" customFormat="false" ht="15" hidden="false" customHeight="false" outlineLevel="0" collapsed="false">
      <c r="A7" s="3" t="s">
        <v>345</v>
      </c>
      <c r="B7" s="3" t="s">
        <v>144</v>
      </c>
      <c r="C7" s="3" t="s">
        <v>355</v>
      </c>
      <c r="D7" s="3" t="s">
        <v>351</v>
      </c>
      <c r="E7" s="3" t="s">
        <v>349</v>
      </c>
    </row>
    <row r="8" customFormat="false" ht="23.85" hidden="false" customHeight="false" outlineLevel="0" collapsed="false">
      <c r="A8" s="3" t="s">
        <v>345</v>
      </c>
      <c r="B8" s="3" t="s">
        <v>356</v>
      </c>
      <c r="C8" s="3" t="s">
        <v>357</v>
      </c>
      <c r="D8" s="3" t="s">
        <v>358</v>
      </c>
      <c r="E8" s="3" t="s">
        <v>349</v>
      </c>
    </row>
    <row r="9" customFormat="false" ht="23.85" hidden="false" customHeight="false" outlineLevel="0" collapsed="false">
      <c r="A9" s="3" t="s">
        <v>345</v>
      </c>
      <c r="B9" s="3" t="s">
        <v>359</v>
      </c>
      <c r="C9" s="3" t="s">
        <v>360</v>
      </c>
      <c r="D9" s="3" t="s">
        <v>361</v>
      </c>
      <c r="E9" s="3" t="s">
        <v>349</v>
      </c>
    </row>
    <row r="10" customFormat="false" ht="23.85" hidden="false" customHeight="false" outlineLevel="0" collapsed="false">
      <c r="A10" s="3" t="s">
        <v>345</v>
      </c>
      <c r="B10" s="3" t="s">
        <v>362</v>
      </c>
      <c r="C10" s="3" t="s">
        <v>363</v>
      </c>
      <c r="D10" s="3" t="s">
        <v>364</v>
      </c>
      <c r="E10" s="3" t="s">
        <v>349</v>
      </c>
    </row>
    <row r="11" customFormat="false" ht="23.85" hidden="false" customHeight="false" outlineLevel="0" collapsed="false">
      <c r="A11" s="3" t="s">
        <v>365</v>
      </c>
      <c r="B11" s="3" t="s">
        <v>366</v>
      </c>
      <c r="C11" s="3" t="s">
        <v>367</v>
      </c>
      <c r="D11" s="3" t="s">
        <v>368</v>
      </c>
      <c r="E11" s="3" t="s">
        <v>369</v>
      </c>
    </row>
    <row r="12" customFormat="false" ht="35.05" hidden="false" customHeight="false" outlineLevel="0" collapsed="false">
      <c r="A12" s="3" t="s">
        <v>370</v>
      </c>
      <c r="B12" s="3" t="s">
        <v>371</v>
      </c>
      <c r="C12" s="3" t="s">
        <v>372</v>
      </c>
      <c r="D12" s="3" t="s">
        <v>373</v>
      </c>
      <c r="E12" s="3" t="s">
        <v>374</v>
      </c>
    </row>
    <row r="13" customFormat="false" ht="23.85" hidden="false" customHeight="false" outlineLevel="0" collapsed="false">
      <c r="A13" s="3" t="s">
        <v>375</v>
      </c>
      <c r="B13" s="3" t="s">
        <v>376</v>
      </c>
      <c r="C13" s="3" t="s">
        <v>377</v>
      </c>
      <c r="D13" s="3" t="s">
        <v>373</v>
      </c>
      <c r="E13" s="3" t="s">
        <v>378</v>
      </c>
    </row>
    <row r="14" customFormat="false" ht="15" hidden="false" customHeight="false" outlineLevel="0" collapsed="false">
      <c r="A14" s="3" t="s">
        <v>379</v>
      </c>
      <c r="B14" s="3" t="s">
        <v>42</v>
      </c>
      <c r="C14" s="3" t="s">
        <v>380</v>
      </c>
      <c r="D14" s="3" t="s">
        <v>381</v>
      </c>
      <c r="E14" s="3" t="s">
        <v>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3"/>
    <col collapsed="false" customWidth="true" hidden="false" outlineLevel="0" max="7" min="4" style="0" width="11"/>
    <col collapsed="false" customWidth="true" hidden="false" outlineLevel="0" max="8" min="8" style="0" width="30"/>
    <col collapsed="false" customWidth="true" hidden="false" outlineLevel="0" max="9" min="9" style="0" width="12"/>
    <col collapsed="false" customWidth="true" hidden="false" outlineLevel="0" max="11" min="10" style="0" width="30"/>
    <col collapsed="false" customWidth="true" hidden="false" outlineLevel="0" max="15" min="12" style="0" width="13"/>
    <col collapsed="false" customWidth="true" hidden="false" outlineLevel="0" max="16" min="16" style="0" width="34"/>
    <col collapsed="false" customWidth="true" hidden="false" outlineLevel="0" max="17" min="17" style="0" width="46"/>
    <col collapsed="false" customWidth="true" hidden="false" outlineLevel="0" max="18" min="18" style="0" width="60"/>
    <col collapsed="false" customWidth="true" hidden="false" outlineLevel="0" max="19" min="19" style="0" width="10"/>
  </cols>
  <sheetData>
    <row r="1" customFormat="false" ht="15" hidden="false" customHeight="false" outlineLevel="0" collapsed="false">
      <c r="A1" s="1" t="s">
        <v>383</v>
      </c>
    </row>
    <row r="3" customFormat="false" ht="15" hidden="false" customHeight="false" outlineLevel="0" collapsed="false">
      <c r="A3" s="14" t="s">
        <v>384</v>
      </c>
    </row>
    <row r="4" customFormat="false" ht="45" hidden="false" customHeight="true" outlineLevel="0" collapsed="false">
      <c r="A4" s="15" t="s">
        <v>385</v>
      </c>
      <c r="B4" s="15"/>
      <c r="C4" s="15"/>
      <c r="D4" s="15"/>
      <c r="E4" s="15"/>
      <c r="F4" s="15"/>
      <c r="G4" s="15"/>
      <c r="H4" s="15"/>
      <c r="I4" s="15"/>
      <c r="J4" s="15"/>
      <c r="K4" s="15"/>
    </row>
    <row r="6" customFormat="false" ht="15" hidden="false" customHeight="false" outlineLevel="0" collapsed="false">
      <c r="A6" s="14" t="s">
        <v>386</v>
      </c>
    </row>
    <row r="7" customFormat="false" ht="15" hidden="false" customHeight="true" outlineLevel="0" collapsed="false">
      <c r="A7" s="2" t="s">
        <v>1</v>
      </c>
      <c r="B7" s="2" t="s">
        <v>387</v>
      </c>
      <c r="C7" s="2"/>
      <c r="D7" s="2" t="s">
        <v>388</v>
      </c>
      <c r="E7" s="2"/>
      <c r="F7" s="2"/>
      <c r="G7" s="2"/>
      <c r="H7" s="2" t="s">
        <v>389</v>
      </c>
      <c r="I7" s="2" t="s">
        <v>143</v>
      </c>
      <c r="J7" s="2"/>
      <c r="K7" s="2" t="s">
        <v>21</v>
      </c>
    </row>
    <row r="8" customFormat="false" ht="150" hidden="false" customHeight="true" outlineLevel="0" collapsed="false">
      <c r="A8" s="3" t="s">
        <v>233</v>
      </c>
      <c r="B8" s="3" t="s">
        <v>390</v>
      </c>
      <c r="C8" s="3"/>
      <c r="D8" s="3" t="s">
        <v>391</v>
      </c>
      <c r="E8" s="3"/>
      <c r="F8" s="3"/>
      <c r="G8" s="3"/>
      <c r="H8" s="3" t="s">
        <v>392</v>
      </c>
      <c r="I8" s="3" t="s">
        <v>393</v>
      </c>
      <c r="J8" s="3"/>
      <c r="K8" s="12" t="s">
        <v>394</v>
      </c>
    </row>
    <row r="9" customFormat="false" ht="150" hidden="false" customHeight="true" outlineLevel="0" collapsed="false">
      <c r="A9" s="3" t="s">
        <v>239</v>
      </c>
      <c r="B9" s="3" t="s">
        <v>395</v>
      </c>
      <c r="C9" s="3"/>
      <c r="D9" s="3" t="s">
        <v>396</v>
      </c>
      <c r="E9" s="3"/>
      <c r="F9" s="3"/>
      <c r="G9" s="3"/>
      <c r="H9" s="3" t="s">
        <v>397</v>
      </c>
      <c r="I9" s="3" t="s">
        <v>398</v>
      </c>
      <c r="J9" s="3"/>
      <c r="K9" s="6" t="s">
        <v>399</v>
      </c>
    </row>
    <row r="10" customFormat="false" ht="150" hidden="false" customHeight="true" outlineLevel="0" collapsed="false">
      <c r="A10" s="3" t="s">
        <v>245</v>
      </c>
      <c r="B10" s="3" t="s">
        <v>400</v>
      </c>
      <c r="C10" s="3"/>
      <c r="D10" s="3" t="s">
        <v>401</v>
      </c>
      <c r="E10" s="3"/>
      <c r="F10" s="3"/>
      <c r="G10" s="3"/>
      <c r="H10" s="3" t="s">
        <v>402</v>
      </c>
      <c r="I10" s="3" t="s">
        <v>403</v>
      </c>
      <c r="J10" s="3"/>
      <c r="K10" s="7" t="s">
        <v>404</v>
      </c>
    </row>
    <row r="11" customFormat="false" ht="150" hidden="false" customHeight="true" outlineLevel="0" collapsed="false">
      <c r="A11" s="3" t="s">
        <v>251</v>
      </c>
      <c r="B11" s="3" t="s">
        <v>405</v>
      </c>
      <c r="C11" s="3"/>
      <c r="D11" s="3" t="s">
        <v>406</v>
      </c>
      <c r="E11" s="3"/>
      <c r="F11" s="3"/>
      <c r="G11" s="3"/>
      <c r="H11" s="3" t="s">
        <v>407</v>
      </c>
      <c r="I11" s="3" t="s">
        <v>408</v>
      </c>
      <c r="J11" s="3"/>
      <c r="K11" s="7" t="s">
        <v>409</v>
      </c>
    </row>
    <row r="12" customFormat="false" ht="150" hidden="false" customHeight="true" outlineLevel="0" collapsed="false">
      <c r="A12" s="3" t="s">
        <v>257</v>
      </c>
      <c r="B12" s="3" t="s">
        <v>410</v>
      </c>
      <c r="C12" s="3"/>
      <c r="D12" s="3" t="s">
        <v>411</v>
      </c>
      <c r="E12" s="3"/>
      <c r="F12" s="3"/>
      <c r="G12" s="3"/>
      <c r="H12" s="3" t="s">
        <v>412</v>
      </c>
      <c r="I12" s="3" t="s">
        <v>413</v>
      </c>
      <c r="J12" s="3"/>
      <c r="K12" s="6" t="s">
        <v>414</v>
      </c>
    </row>
    <row r="14" customFormat="false" ht="15" hidden="false" customHeight="false" outlineLevel="0" collapsed="false">
      <c r="A14" s="14" t="s">
        <v>415</v>
      </c>
    </row>
    <row r="15" customFormat="false" ht="75" hidden="false" customHeight="true" outlineLevel="0" collapsed="false">
      <c r="A15" s="2" t="s">
        <v>2</v>
      </c>
      <c r="B15" s="2" t="s">
        <v>3</v>
      </c>
      <c r="C15" s="2" t="s">
        <v>416</v>
      </c>
      <c r="D15" s="2" t="s">
        <v>417</v>
      </c>
      <c r="E15" s="2" t="s">
        <v>418</v>
      </c>
      <c r="F15" s="2" t="s">
        <v>141</v>
      </c>
      <c r="G15" s="2" t="s">
        <v>419</v>
      </c>
      <c r="H15" s="2" t="s">
        <v>420</v>
      </c>
      <c r="I15" s="2" t="s">
        <v>421</v>
      </c>
      <c r="J15" s="2" t="s">
        <v>422</v>
      </c>
      <c r="K15" s="2" t="s">
        <v>423</v>
      </c>
      <c r="L15" s="2" t="s">
        <v>424</v>
      </c>
      <c r="M15" s="2" t="s">
        <v>425</v>
      </c>
      <c r="N15" s="2" t="s">
        <v>426</v>
      </c>
      <c r="O15" s="2" t="s">
        <v>427</v>
      </c>
      <c r="P15" s="2" t="s">
        <v>428</v>
      </c>
      <c r="Q15" s="2" t="s">
        <v>429</v>
      </c>
      <c r="R15" s="2" t="s">
        <v>389</v>
      </c>
    </row>
    <row r="16" customFormat="false" ht="109.5" hidden="false" customHeight="true" outlineLevel="0" collapsed="false">
      <c r="A16" s="3" t="s">
        <v>59</v>
      </c>
      <c r="B16" s="3" t="s">
        <v>60</v>
      </c>
      <c r="C16" s="4" t="n">
        <v>45657</v>
      </c>
      <c r="D16" s="16" t="b">
        <f aca="false">FALSE()</f>
        <v>0</v>
      </c>
      <c r="E16" s="16" t="b">
        <f aca="false">FALSE()</f>
        <v>0</v>
      </c>
      <c r="F16" s="16" t="b">
        <f aca="false">FALSE()</f>
        <v>0</v>
      </c>
      <c r="G16" s="3" t="s">
        <v>151</v>
      </c>
      <c r="H16" s="3" t="s">
        <v>430</v>
      </c>
      <c r="I16" s="12" t="str">
        <f aca="false">IF(G16="No","N/A - not triggered: no Revoked decision, no SLA clock","Measure from close of review")</f>
        <v>N/A - not triggered: no Revoked decision, no SLA clock</v>
      </c>
      <c r="J16" s="6" t="str">
        <f aca="false">IF(AND(C16&lt;&gt;"",K16="No - none in any tab (WorkItemID blank)"),"FAIL - IAMS-terminated identity ("&amp;TEXT(C16,"mm/dd/yyyy")&amp;") approved; PAM raised no revocation ticket","Pass")</f>
        <v>FAIL - IAMS-terminated identity (12/31/2024) approved; PAM raised no revocation ticket</v>
      </c>
      <c r="K16" s="3" t="s">
        <v>431</v>
      </c>
      <c r="L16" s="5" t="n">
        <f aca="false">WORKDAY(C16,1,Holidays!$A$4:$A$23)</f>
        <v>45659</v>
      </c>
      <c r="M16" s="5" t="n">
        <f aca="false">WORKDAY(C16,30,Holidays!$A$4:$A$23)</f>
        <v>45701</v>
      </c>
      <c r="N16" s="4" t="n">
        <v>46251</v>
      </c>
      <c r="O16" s="3" t="n">
        <f aca="false">IF(N16&gt;M16,NETWORKDAYS(M16+1,N16,Holidays!$A$4:$A$23),0)</f>
        <v>377</v>
      </c>
      <c r="P16" s="7" t="str">
        <f aca="false">IF(O16&gt;0,"Missed by "&amp;O16&amp;" business days IF termination is confirmed - leaver control observation, look-back required (4.2.4.3)","Met")</f>
        <v>Missed by 377 business days IF termination is confirmed - leaver control observation, look-back required (4.2.4.3)</v>
      </c>
      <c r="Q16" s="6" t="s">
        <v>432</v>
      </c>
      <c r="R16" s="3" t="s">
        <v>433</v>
      </c>
    </row>
    <row r="17" customFormat="false" ht="109.5" hidden="false" customHeight="true" outlineLevel="0" collapsed="false">
      <c r="A17" s="3" t="s">
        <v>76</v>
      </c>
      <c r="B17" s="3" t="s">
        <v>77</v>
      </c>
      <c r="C17" s="4" t="n">
        <v>45657</v>
      </c>
      <c r="D17" s="11" t="b">
        <f aca="false">TRUE()</f>
        <v>1</v>
      </c>
      <c r="E17" s="11" t="b">
        <f aca="false">TRUE()</f>
        <v>1</v>
      </c>
      <c r="F17" s="11" t="b">
        <f aca="false">TRUE()</f>
        <v>1</v>
      </c>
      <c r="G17" s="3" t="s">
        <v>151</v>
      </c>
      <c r="H17" s="3" t="s">
        <v>430</v>
      </c>
      <c r="I17" s="12" t="str">
        <f aca="false">IF(G17="No","N/A - not triggered: no Revoked decision, no SLA clock","Measure from close of review")</f>
        <v>N/A - not triggered: no Revoked decision, no SLA clock</v>
      </c>
      <c r="J17" s="6" t="str">
        <f aca="false">IF(AND(C17&lt;&gt;"",K17="No - none in any tab (WorkItemID blank)"),"FAIL - IAMS-terminated identity ("&amp;TEXT(C17,"mm/dd/yyyy")&amp;") approved; PAM raised no revocation ticket","Pass")</f>
        <v>FAIL - IAMS-terminated identity (12/31/2024) approved; PAM raised no revocation ticket</v>
      </c>
      <c r="K17" s="3" t="s">
        <v>431</v>
      </c>
      <c r="L17" s="5" t="n">
        <f aca="false">WORKDAY(C17,1,Holidays!$A$4:$A$23)</f>
        <v>45659</v>
      </c>
      <c r="M17" s="5" t="n">
        <f aca="false">WORKDAY(C17,30,Holidays!$A$4:$A$23)</f>
        <v>45701</v>
      </c>
      <c r="N17" s="4" t="n">
        <v>46251</v>
      </c>
      <c r="O17" s="3" t="n">
        <f aca="false">IF(N17&gt;M17,NETWORKDAYS(M17+1,N17,Holidays!$A$4:$A$23),0)</f>
        <v>377</v>
      </c>
      <c r="P17" s="7" t="str">
        <f aca="false">IF(O17&gt;0,"Missed by "&amp;O17&amp;" business days IF termination is confirmed - leaver control observation, look-back required (4.2.4.3)","Met")</f>
        <v>Missed by 377 business days IF termination is confirmed - leaver control observation, look-back required (4.2.4.3)</v>
      </c>
      <c r="Q17" s="6" t="s">
        <v>434</v>
      </c>
      <c r="R17" s="3" t="s">
        <v>435</v>
      </c>
    </row>
    <row r="18" customFormat="false" ht="109.5" hidden="false" customHeight="true" outlineLevel="0" collapsed="false">
      <c r="A18" s="3" t="s">
        <v>85</v>
      </c>
      <c r="B18" s="3" t="s">
        <v>86</v>
      </c>
      <c r="C18" s="4" t="n">
        <v>45657</v>
      </c>
      <c r="D18" s="11" t="b">
        <f aca="false">TRUE()</f>
        <v>1</v>
      </c>
      <c r="E18" s="11" t="b">
        <f aca="false">TRUE()</f>
        <v>1</v>
      </c>
      <c r="F18" s="11" t="b">
        <f aca="false">TRUE()</f>
        <v>1</v>
      </c>
      <c r="G18" s="3" t="s">
        <v>151</v>
      </c>
      <c r="H18" s="3" t="s">
        <v>430</v>
      </c>
      <c r="I18" s="12" t="str">
        <f aca="false">IF(G18="No","N/A - not triggered: no Revoked decision, no SLA clock","Measure from close of review")</f>
        <v>N/A - not triggered: no Revoked decision, no SLA clock</v>
      </c>
      <c r="J18" s="6" t="str">
        <f aca="false">IF(AND(C18&lt;&gt;"",K18="No - none in any tab (WorkItemID blank)"),"FAIL - IAMS-terminated identity ("&amp;TEXT(C18,"mm/dd/yyyy")&amp;") approved; PAM raised no revocation ticket","Pass")</f>
        <v>FAIL - IAMS-terminated identity (12/31/2024) approved; PAM raised no revocation ticket</v>
      </c>
      <c r="K18" s="3" t="s">
        <v>431</v>
      </c>
      <c r="L18" s="5" t="n">
        <f aca="false">WORKDAY(C18,1,Holidays!$A$4:$A$23)</f>
        <v>45659</v>
      </c>
      <c r="M18" s="5" t="n">
        <f aca="false">WORKDAY(C18,30,Holidays!$A$4:$A$23)</f>
        <v>45701</v>
      </c>
      <c r="N18" s="4" t="n">
        <v>46251</v>
      </c>
      <c r="O18" s="3" t="n">
        <f aca="false">IF(N18&gt;M18,NETWORKDAYS(M18+1,N18,Holidays!$A$4:$A$23),0)</f>
        <v>377</v>
      </c>
      <c r="P18" s="7" t="str">
        <f aca="false">IF(O18&gt;0,"Missed by "&amp;O18&amp;" business days IF termination is confirmed - leaver control observation, look-back required (4.2.4.3)","Met")</f>
        <v>Missed by 377 business days IF termination is confirmed - leaver control observation, look-back required (4.2.4.3)</v>
      </c>
      <c r="Q18" s="6" t="s">
        <v>434</v>
      </c>
      <c r="R18" s="3" t="s">
        <v>436</v>
      </c>
    </row>
    <row r="19" customFormat="false" ht="109.5" hidden="false" customHeight="true" outlineLevel="0" collapsed="false">
      <c r="A19" s="3" t="s">
        <v>92</v>
      </c>
      <c r="B19" s="3" t="s">
        <v>93</v>
      </c>
      <c r="C19" s="4" t="n">
        <v>45657</v>
      </c>
      <c r="D19" s="11" t="b">
        <f aca="false">TRUE()</f>
        <v>1</v>
      </c>
      <c r="E19" s="11" t="b">
        <f aca="false">TRUE()</f>
        <v>1</v>
      </c>
      <c r="F19" s="11" t="b">
        <f aca="false">TRUE()</f>
        <v>1</v>
      </c>
      <c r="G19" s="3" t="s">
        <v>151</v>
      </c>
      <c r="H19" s="3" t="s">
        <v>430</v>
      </c>
      <c r="I19" s="12" t="str">
        <f aca="false">IF(G19="No","N/A - not triggered: no Revoked decision, no SLA clock","Measure from close of review")</f>
        <v>N/A - not triggered: no Revoked decision, no SLA clock</v>
      </c>
      <c r="J19" s="6" t="str">
        <f aca="false">IF(AND(C19&lt;&gt;"",K19="No - none in any tab (WorkItemID blank)"),"FAIL - IAMS-terminated identity ("&amp;TEXT(C19,"mm/dd/yyyy")&amp;") approved; PAM raised no revocation ticket","Pass")</f>
        <v>FAIL - IAMS-terminated identity (12/31/2024) approved; PAM raised no revocation ticket</v>
      </c>
      <c r="K19" s="3" t="s">
        <v>431</v>
      </c>
      <c r="L19" s="5" t="n">
        <f aca="false">WORKDAY(C19,1,Holidays!$A$4:$A$23)</f>
        <v>45659</v>
      </c>
      <c r="M19" s="5" t="n">
        <f aca="false">WORKDAY(C19,30,Holidays!$A$4:$A$23)</f>
        <v>45701</v>
      </c>
      <c r="N19" s="4" t="n">
        <v>46251</v>
      </c>
      <c r="O19" s="3" t="n">
        <f aca="false">IF(N19&gt;M19,NETWORKDAYS(M19+1,N19,Holidays!$A$4:$A$23),0)</f>
        <v>377</v>
      </c>
      <c r="P19" s="7" t="str">
        <f aca="false">IF(O19&gt;0,"Missed by "&amp;O19&amp;" business days IF termination is confirmed - leaver control observation, look-back required (4.2.4.3)","Met")</f>
        <v>Missed by 377 business days IF termination is confirmed - leaver control observation, look-back required (4.2.4.3)</v>
      </c>
      <c r="Q19" s="6" t="s">
        <v>434</v>
      </c>
      <c r="R19" s="3" t="s">
        <v>437</v>
      </c>
    </row>
    <row r="20" customFormat="false" ht="109.5" hidden="false" customHeight="true" outlineLevel="0" collapsed="false">
      <c r="A20" s="3" t="s">
        <v>99</v>
      </c>
      <c r="B20" s="3" t="s">
        <v>100</v>
      </c>
      <c r="C20" s="4" t="n">
        <v>45657</v>
      </c>
      <c r="D20" s="11" t="b">
        <f aca="false">TRUE()</f>
        <v>1</v>
      </c>
      <c r="E20" s="16" t="b">
        <f aca="false">FALSE()</f>
        <v>0</v>
      </c>
      <c r="F20" s="11" t="b">
        <f aca="false">TRUE()</f>
        <v>1</v>
      </c>
      <c r="G20" s="3" t="s">
        <v>151</v>
      </c>
      <c r="H20" s="3" t="s">
        <v>430</v>
      </c>
      <c r="I20" s="12" t="str">
        <f aca="false">IF(G20="No","N/A - not triggered: no Revoked decision, no SLA clock","Measure from close of review")</f>
        <v>N/A - not triggered: no Revoked decision, no SLA clock</v>
      </c>
      <c r="J20" s="6" t="str">
        <f aca="false">IF(AND(C20&lt;&gt;"",K20="No - none in any tab (WorkItemID blank)"),"FAIL - IAMS-terminated identity ("&amp;TEXT(C20,"mm/dd/yyyy")&amp;") approved; PAM raised no revocation ticket","Pass")</f>
        <v>FAIL - IAMS-terminated identity (12/31/2024) approved; PAM raised no revocation ticket</v>
      </c>
      <c r="K20" s="3" t="s">
        <v>431</v>
      </c>
      <c r="L20" s="5" t="n">
        <f aca="false">WORKDAY(C20,1,Holidays!$A$4:$A$23)</f>
        <v>45659</v>
      </c>
      <c r="M20" s="5" t="n">
        <f aca="false">WORKDAY(C20,30,Holidays!$A$4:$A$23)</f>
        <v>45701</v>
      </c>
      <c r="N20" s="4" t="n">
        <v>46251</v>
      </c>
      <c r="O20" s="3" t="n">
        <f aca="false">IF(N20&gt;M20,NETWORKDAYS(M20+1,N20,Holidays!$A$4:$A$23),0)</f>
        <v>377</v>
      </c>
      <c r="P20" s="7" t="str">
        <f aca="false">IF(O20&gt;0,"Missed by "&amp;O20&amp;" business days IF termination is confirmed - leaver control observation, look-back required (4.2.4.3)","Met")</f>
        <v>Missed by 377 business days IF termination is confirmed - leaver control observation, look-back required (4.2.4.3)</v>
      </c>
      <c r="Q20" s="6" t="s">
        <v>438</v>
      </c>
      <c r="R20" s="3" t="s">
        <v>439</v>
      </c>
    </row>
    <row r="21" customFormat="false" ht="109.5" hidden="false" customHeight="true" outlineLevel="0" collapsed="false">
      <c r="A21" s="3" t="s">
        <v>108</v>
      </c>
      <c r="B21" s="3" t="s">
        <v>109</v>
      </c>
      <c r="C21" s="4" t="n">
        <v>45657</v>
      </c>
      <c r="D21" s="11" t="b">
        <f aca="false">TRUE()</f>
        <v>1</v>
      </c>
      <c r="E21" s="16" t="b">
        <f aca="false">FALSE()</f>
        <v>0</v>
      </c>
      <c r="F21" s="11" t="b">
        <f aca="false">TRUE()</f>
        <v>1</v>
      </c>
      <c r="G21" s="3" t="s">
        <v>151</v>
      </c>
      <c r="H21" s="3" t="s">
        <v>430</v>
      </c>
      <c r="I21" s="12" t="str">
        <f aca="false">IF(G21="No","N/A - not triggered: no Revoked decision, no SLA clock","Measure from close of review")</f>
        <v>N/A - not triggered: no Revoked decision, no SLA clock</v>
      </c>
      <c r="J21" s="6" t="str">
        <f aca="false">IF(AND(C21&lt;&gt;"",K21="No - none in any tab (WorkItemID blank)"),"FAIL - IAMS-terminated identity ("&amp;TEXT(C21,"mm/dd/yyyy")&amp;") approved; PAM raised no revocation ticket","Pass")</f>
        <v>FAIL - IAMS-terminated identity (12/31/2024) approved; PAM raised no revocation ticket</v>
      </c>
      <c r="K21" s="3" t="s">
        <v>431</v>
      </c>
      <c r="L21" s="5" t="n">
        <f aca="false">WORKDAY(C21,1,Holidays!$A$4:$A$23)</f>
        <v>45659</v>
      </c>
      <c r="M21" s="5" t="n">
        <f aca="false">WORKDAY(C21,30,Holidays!$A$4:$A$23)</f>
        <v>45701</v>
      </c>
      <c r="N21" s="4" t="n">
        <v>46251</v>
      </c>
      <c r="O21" s="3" t="n">
        <f aca="false">IF(N21&gt;M21,NETWORKDAYS(M21+1,N21,Holidays!$A$4:$A$23),0)</f>
        <v>377</v>
      </c>
      <c r="P21" s="7" t="str">
        <f aca="false">IF(O21&gt;0,"Missed by "&amp;O21&amp;" business days IF termination is confirmed - leaver control observation, look-back required (4.2.4.3)","Met")</f>
        <v>Missed by 377 business days IF termination is confirmed - leaver control observation, look-back required (4.2.4.3)</v>
      </c>
      <c r="Q21" s="6" t="s">
        <v>438</v>
      </c>
      <c r="R21" s="3" t="s">
        <v>440</v>
      </c>
    </row>
    <row r="23" customFormat="false" ht="15" hidden="false" customHeight="false" outlineLevel="0" collapsed="false">
      <c r="A23" s="17" t="s">
        <v>441</v>
      </c>
      <c r="B23" s="17"/>
      <c r="C23" s="17"/>
      <c r="D23" s="17"/>
      <c r="E23" s="17"/>
      <c r="F23" s="17"/>
      <c r="G23" s="17"/>
      <c r="H23" s="9" t="str">
        <f aca="false">COUNTIF(I16:I21,"Fail*")&amp;" of "&amp;COUNTA(A16:A21)&amp;" (SLA not triggered)"</f>
        <v>0 of 6 (SLA not triggered)</v>
      </c>
    </row>
    <row r="24" customFormat="false" ht="15" hidden="false" customHeight="false" outlineLevel="0" collapsed="false">
      <c r="A24" s="17" t="s">
        <v>442</v>
      </c>
      <c r="B24" s="17"/>
      <c r="C24" s="17"/>
      <c r="D24" s="17"/>
      <c r="E24" s="17"/>
      <c r="F24" s="17"/>
      <c r="G24" s="17"/>
      <c r="H24" s="9" t="str">
        <f aca="false">COUNTIF(J16:J21,"FAIL*")&amp;" of "&amp;COUNTA(A16:A21)</f>
        <v>6 of 6</v>
      </c>
    </row>
    <row r="25" customFormat="false" ht="15" hidden="false" customHeight="false" outlineLevel="0" collapsed="false">
      <c r="A25" s="17" t="s">
        <v>443</v>
      </c>
      <c r="B25" s="17"/>
      <c r="C25" s="17"/>
      <c r="D25" s="17"/>
      <c r="E25" s="17"/>
      <c r="F25" s="17"/>
      <c r="G25" s="17"/>
      <c r="H25" s="9" t="str">
        <f aca="false">COUNTIF(P16:P21,"Missed*")&amp;" of "&amp;COUNTA(A16:A21)</f>
        <v>6 of 6</v>
      </c>
    </row>
    <row r="26" customFormat="false" ht="39.75" hidden="false" customHeight="true" outlineLevel="0" collapsed="false">
      <c r="A26" s="18" t="s">
        <v>444</v>
      </c>
      <c r="B26" s="18"/>
      <c r="C26" s="18"/>
      <c r="D26" s="18"/>
      <c r="E26" s="18"/>
      <c r="F26" s="18"/>
      <c r="G26" s="18"/>
      <c r="H26" s="18"/>
      <c r="I26" s="18"/>
      <c r="J26" s="18"/>
      <c r="K26" s="18"/>
    </row>
    <row r="28" customFormat="false" ht="15" hidden="false" customHeight="false" outlineLevel="0" collapsed="false">
      <c r="A28" s="14" t="s">
        <v>445</v>
      </c>
    </row>
    <row r="29" customFormat="false" ht="15" hidden="false" customHeight="false" outlineLevel="0" collapsed="false">
      <c r="A29" s="19" t="s">
        <v>446</v>
      </c>
      <c r="B29" s="19"/>
      <c r="C29" s="19"/>
      <c r="D29" s="19"/>
      <c r="E29" s="19"/>
      <c r="F29" s="19"/>
      <c r="G29" s="19"/>
      <c r="H29" s="19"/>
      <c r="I29" s="19"/>
      <c r="J29" s="19"/>
      <c r="K29" s="19"/>
    </row>
    <row r="30" customFormat="false" ht="31.5" hidden="false" customHeight="true" outlineLevel="0" collapsed="false">
      <c r="A30" s="20" t="s">
        <v>447</v>
      </c>
      <c r="B30" s="20"/>
      <c r="C30" s="20"/>
      <c r="D30" s="3" t="str">
        <f aca="false">H16&amp;". No Revoked decision in any review (reviewer: Borges, Dayam)."</f>
        <v>Approved 08/28/2025 / Approved 04/30/2026 / Approved 7/27/26, 12:45 PM (SOX) and 8/17/26, 9:23 AM (CyberArk). No Revoked decision in any review (reviewer: Borges, Dayam).</v>
      </c>
      <c r="E30" s="3"/>
      <c r="F30" s="3"/>
      <c r="G30" s="3"/>
      <c r="H30" s="3"/>
      <c r="I30" s="3"/>
      <c r="J30" s="3"/>
      <c r="K30" s="3"/>
    </row>
    <row r="31" customFormat="false" ht="31.5" hidden="false" customHeight="true" outlineLevel="0" collapsed="false">
      <c r="A31" s="20" t="s">
        <v>448</v>
      </c>
      <c r="B31" s="20"/>
      <c r="C31" s="20"/>
      <c r="D31" s="3" t="s">
        <v>449</v>
      </c>
      <c r="E31" s="3"/>
      <c r="F31" s="3"/>
      <c r="G31" s="3"/>
      <c r="H31" s="3"/>
      <c r="I31" s="3"/>
      <c r="J31" s="3"/>
      <c r="K31" s="3"/>
    </row>
    <row r="32" customFormat="false" ht="60" hidden="false" customHeight="true" outlineLevel="0" collapsed="false">
      <c r="A32" s="20" t="s">
        <v>450</v>
      </c>
      <c r="B32" s="20"/>
      <c r="C32" s="20"/>
      <c r="D32" s="12" t="s">
        <v>451</v>
      </c>
      <c r="E32" s="12"/>
      <c r="F32" s="12"/>
      <c r="G32" s="12"/>
      <c r="H32" s="12"/>
      <c r="I32" s="12"/>
      <c r="J32" s="12"/>
      <c r="K32" s="12"/>
    </row>
    <row r="33" customFormat="false" ht="31.5" hidden="false" customHeight="true" outlineLevel="0" collapsed="false">
      <c r="A33" s="20" t="s">
        <v>18</v>
      </c>
      <c r="B33" s="20"/>
      <c r="C33" s="20"/>
      <c r="D33" s="3" t="s">
        <v>452</v>
      </c>
      <c r="E33" s="3"/>
      <c r="F33" s="3"/>
      <c r="G33" s="3"/>
      <c r="H33" s="3"/>
      <c r="I33" s="3"/>
      <c r="J33" s="3"/>
      <c r="K33" s="3"/>
    </row>
    <row r="34" customFormat="false" ht="31.5" hidden="false" customHeight="true" outlineLevel="0" collapsed="false">
      <c r="A34" s="20" t="s">
        <v>453</v>
      </c>
      <c r="B34" s="20"/>
      <c r="C34" s="20"/>
      <c r="D34" s="3" t="str">
        <f aca="false">"C7.Sample.xlsx certification exports (all Approved, WorkItemID blank) and AD export (enabled 10/10/2026 = "&amp;IF(F16,"TRUE","FALSE")&amp;"). No Netwrix log, AD audit log or ServiceNow ticket was provided."</f>
        <v>C7.Sample.xlsx certification exports (all Approved, WorkItemID blank) and AD export (enabled 10/10/2026 = FALSE). No Netwrix log, AD audit log or ServiceNow ticket was provided.</v>
      </c>
      <c r="E34" s="3"/>
      <c r="F34" s="3"/>
      <c r="G34" s="3"/>
      <c r="H34" s="3"/>
      <c r="I34" s="3"/>
      <c r="J34" s="3"/>
      <c r="K34" s="3"/>
    </row>
    <row r="35" customFormat="false" ht="60" hidden="false" customHeight="true" outlineLevel="0" collapsed="false">
      <c r="A35" s="20" t="s">
        <v>21</v>
      </c>
      <c r="B35" s="20"/>
      <c r="C35" s="20"/>
      <c r="D35" s="6" t="s">
        <v>454</v>
      </c>
      <c r="E35" s="6"/>
      <c r="F35" s="6"/>
      <c r="G35" s="6"/>
      <c r="H35" s="6"/>
      <c r="I35" s="6"/>
      <c r="J35" s="6"/>
      <c r="K35" s="6"/>
    </row>
    <row r="36" customFormat="false" ht="60" hidden="false" customHeight="true" outlineLevel="0" collapsed="false">
      <c r="A36" s="20" t="s">
        <v>389</v>
      </c>
      <c r="B36" s="20"/>
      <c r="C36" s="20"/>
      <c r="D36" s="3" t="str">
        <f aca="false">R16</f>
        <v>C7.Sample.xlsx: SAMPLE!A72 (screenshots A73, A79); 2026Q2PamBsiSox-Manager rows 86-88; 2026Q2BsiPamCyberark-Manager rows 419-421; Oct10_2026Users row 1598. Walkthrough: 4_Item Detail 2025 Q3 CISCO Network Administrators row 15, 2025 Q3 ISEAdmin row 53, 2026 Q1 CISCO Network Administrators row 103, 2026 Q1 ISEAdmin row 126; 5_Exceptions row 4. Policy: section B above.</v>
      </c>
      <c r="E36" s="3"/>
      <c r="F36" s="3"/>
      <c r="G36" s="3"/>
      <c r="H36" s="3"/>
      <c r="I36" s="3"/>
      <c r="J36" s="3"/>
      <c r="K36" s="3"/>
    </row>
    <row r="38" customFormat="false" ht="15" hidden="false" customHeight="false" outlineLevel="0" collapsed="false">
      <c r="A38" s="19" t="s">
        <v>455</v>
      </c>
      <c r="B38" s="19"/>
      <c r="C38" s="19"/>
      <c r="D38" s="19"/>
      <c r="E38" s="19"/>
      <c r="F38" s="19"/>
      <c r="G38" s="19"/>
      <c r="H38" s="19"/>
      <c r="I38" s="19"/>
      <c r="J38" s="19"/>
      <c r="K38" s="19"/>
    </row>
    <row r="39" customFormat="false" ht="31.5" hidden="false" customHeight="true" outlineLevel="0" collapsed="false">
      <c r="A39" s="20" t="s">
        <v>447</v>
      </c>
      <c r="B39" s="20"/>
      <c r="C39" s="20"/>
      <c r="D39" s="3" t="str">
        <f aca="false">H17&amp;". No Revoked decision in any review (reviewer: Borges, Dayam)."</f>
        <v>Approved 08/28/2025 / Approved 04/30/2026 / Approved 7/27/26, 12:45 PM (SOX) and 8/17/26, 9:23 AM (CyberArk). No Revoked decision in any review (reviewer: Borges, Dayam).</v>
      </c>
      <c r="E39" s="3"/>
      <c r="F39" s="3"/>
      <c r="G39" s="3"/>
      <c r="H39" s="3"/>
      <c r="I39" s="3"/>
      <c r="J39" s="3"/>
      <c r="K39" s="3"/>
    </row>
    <row r="40" customFormat="false" ht="31.5" hidden="false" customHeight="true" outlineLevel="0" collapsed="false">
      <c r="A40" s="20" t="s">
        <v>448</v>
      </c>
      <c r="B40" s="20"/>
      <c r="C40" s="20"/>
      <c r="D40" s="3" t="s">
        <v>449</v>
      </c>
      <c r="E40" s="3"/>
      <c r="F40" s="3"/>
      <c r="G40" s="3"/>
      <c r="H40" s="3"/>
      <c r="I40" s="3"/>
      <c r="J40" s="3"/>
      <c r="K40" s="3"/>
    </row>
    <row r="41" customFormat="false" ht="60" hidden="false" customHeight="true" outlineLevel="0" collapsed="false">
      <c r="A41" s="20" t="s">
        <v>450</v>
      </c>
      <c r="B41" s="20"/>
      <c r="C41" s="20"/>
      <c r="D41" s="12" t="s">
        <v>451</v>
      </c>
      <c r="E41" s="12"/>
      <c r="F41" s="12"/>
      <c r="G41" s="12"/>
      <c r="H41" s="12"/>
      <c r="I41" s="12"/>
      <c r="J41" s="12"/>
      <c r="K41" s="12"/>
    </row>
    <row r="42" customFormat="false" ht="31.5" hidden="false" customHeight="true" outlineLevel="0" collapsed="false">
      <c r="A42" s="20" t="s">
        <v>18</v>
      </c>
      <c r="B42" s="20"/>
      <c r="C42" s="20"/>
      <c r="D42" s="3" t="s">
        <v>452</v>
      </c>
      <c r="E42" s="3"/>
      <c r="F42" s="3"/>
      <c r="G42" s="3"/>
      <c r="H42" s="3"/>
      <c r="I42" s="3"/>
      <c r="J42" s="3"/>
      <c r="K42" s="3"/>
    </row>
    <row r="43" customFormat="false" ht="31.5" hidden="false" customHeight="true" outlineLevel="0" collapsed="false">
      <c r="A43" s="20" t="s">
        <v>453</v>
      </c>
      <c r="B43" s="20"/>
      <c r="C43" s="20"/>
      <c r="D43" s="3" t="str">
        <f aca="false">"C7.Sample.xlsx certification exports (all Approved, WorkItemID blank) and AD export (enabled 10/10/2026 = "&amp;IF(F17,"TRUE","FALSE")&amp;"). No Netwrix log, AD audit log or ServiceNow ticket was provided."</f>
        <v>C7.Sample.xlsx certification exports (all Approved, WorkItemID blank) and AD export (enabled 10/10/2026 = TRUE). No Netwrix log, AD audit log or ServiceNow ticket was provided.</v>
      </c>
      <c r="E43" s="3"/>
      <c r="F43" s="3"/>
      <c r="G43" s="3"/>
      <c r="H43" s="3"/>
      <c r="I43" s="3"/>
      <c r="J43" s="3"/>
      <c r="K43" s="3"/>
    </row>
    <row r="44" customFormat="false" ht="60" hidden="false" customHeight="true" outlineLevel="0" collapsed="false">
      <c r="A44" s="20" t="s">
        <v>21</v>
      </c>
      <c r="B44" s="20"/>
      <c r="C44" s="20"/>
      <c r="D44" s="6" t="s">
        <v>456</v>
      </c>
      <c r="E44" s="6"/>
      <c r="F44" s="6"/>
      <c r="G44" s="6"/>
      <c r="H44" s="6"/>
      <c r="I44" s="6"/>
      <c r="J44" s="6"/>
      <c r="K44" s="6"/>
    </row>
    <row r="45" customFormat="false" ht="60" hidden="false" customHeight="true" outlineLevel="0" collapsed="false">
      <c r="A45" s="20" t="s">
        <v>389</v>
      </c>
      <c r="B45" s="20"/>
      <c r="C45" s="20"/>
      <c r="D45" s="3" t="str">
        <f aca="false">R17</f>
        <v>C7.Sample.xlsx: SAMPLE!A86 (screenshots A87, A93); 2026Q2PamBsiSox-Manager rows 89-91; 2026Q2BsiPamCyberark-Manager rows 422-424; Oct10_2026Users row 1596. Walkthrough: 4_Item Detail 2025 Q3 CISCO Network Administrators row 16, 2025 Q3 ISEAdmin row 54, 2026 Q1 CISCO Network Administrators row 104, 2026 Q1 ISEAdmin row 127; 5_Exceptions row 5. Policy: section B above.</v>
      </c>
      <c r="E45" s="3"/>
      <c r="F45" s="3"/>
      <c r="G45" s="3"/>
      <c r="H45" s="3"/>
      <c r="I45" s="3"/>
      <c r="J45" s="3"/>
      <c r="K45" s="3"/>
    </row>
    <row r="47" customFormat="false" ht="15" hidden="false" customHeight="false" outlineLevel="0" collapsed="false">
      <c r="A47" s="19" t="s">
        <v>457</v>
      </c>
      <c r="B47" s="19"/>
      <c r="C47" s="19"/>
      <c r="D47" s="19"/>
      <c r="E47" s="19"/>
      <c r="F47" s="19"/>
      <c r="G47" s="19"/>
      <c r="H47" s="19"/>
      <c r="I47" s="19"/>
      <c r="J47" s="19"/>
      <c r="K47" s="19"/>
    </row>
    <row r="48" customFormat="false" ht="31.5" hidden="false" customHeight="true" outlineLevel="0" collapsed="false">
      <c r="A48" s="20" t="s">
        <v>447</v>
      </c>
      <c r="B48" s="20"/>
      <c r="C48" s="20"/>
      <c r="D48" s="3" t="str">
        <f aca="false">H18&amp;". No Revoked decision in any review (reviewer: Borges, Dayam)."</f>
        <v>Approved 08/28/2025 / Approved 04/30/2026 / Approved 7/27/26, 12:45 PM (SOX) and 8/17/26, 9:23 AM (CyberArk). No Revoked decision in any review (reviewer: Borges, Dayam).</v>
      </c>
      <c r="E48" s="3"/>
      <c r="F48" s="3"/>
      <c r="G48" s="3"/>
      <c r="H48" s="3"/>
      <c r="I48" s="3"/>
      <c r="J48" s="3"/>
      <c r="K48" s="3"/>
    </row>
    <row r="49" customFormat="false" ht="31.5" hidden="false" customHeight="true" outlineLevel="0" collapsed="false">
      <c r="A49" s="20" t="s">
        <v>448</v>
      </c>
      <c r="B49" s="20"/>
      <c r="C49" s="20"/>
      <c r="D49" s="3" t="s">
        <v>449</v>
      </c>
      <c r="E49" s="3"/>
      <c r="F49" s="3"/>
      <c r="G49" s="3"/>
      <c r="H49" s="3"/>
      <c r="I49" s="3"/>
      <c r="J49" s="3"/>
      <c r="K49" s="3"/>
    </row>
    <row r="50" customFormat="false" ht="60" hidden="false" customHeight="true" outlineLevel="0" collapsed="false">
      <c r="A50" s="20" t="s">
        <v>450</v>
      </c>
      <c r="B50" s="20"/>
      <c r="C50" s="20"/>
      <c r="D50" s="12" t="s">
        <v>451</v>
      </c>
      <c r="E50" s="12"/>
      <c r="F50" s="12"/>
      <c r="G50" s="12"/>
      <c r="H50" s="12"/>
      <c r="I50" s="12"/>
      <c r="J50" s="12"/>
      <c r="K50" s="12"/>
    </row>
    <row r="51" customFormat="false" ht="31.5" hidden="false" customHeight="true" outlineLevel="0" collapsed="false">
      <c r="A51" s="20" t="s">
        <v>18</v>
      </c>
      <c r="B51" s="20"/>
      <c r="C51" s="20"/>
      <c r="D51" s="3" t="s">
        <v>452</v>
      </c>
      <c r="E51" s="3"/>
      <c r="F51" s="3"/>
      <c r="G51" s="3"/>
      <c r="H51" s="3"/>
      <c r="I51" s="3"/>
      <c r="J51" s="3"/>
      <c r="K51" s="3"/>
    </row>
    <row r="52" customFormat="false" ht="31.5" hidden="false" customHeight="true" outlineLevel="0" collapsed="false">
      <c r="A52" s="20" t="s">
        <v>453</v>
      </c>
      <c r="B52" s="20"/>
      <c r="C52" s="20"/>
      <c r="D52" s="3" t="str">
        <f aca="false">"C7.Sample.xlsx certification exports (all Approved, WorkItemID blank) and AD export (enabled 10/10/2026 = "&amp;IF(F18,"TRUE","FALSE")&amp;"). No Netwrix log, AD audit log or ServiceNow ticket was provided."</f>
        <v>C7.Sample.xlsx certification exports (all Approved, WorkItemID blank) and AD export (enabled 10/10/2026 = TRUE). No Netwrix log, AD audit log or ServiceNow ticket was provided.</v>
      </c>
      <c r="E52" s="3"/>
      <c r="F52" s="3"/>
      <c r="G52" s="3"/>
      <c r="H52" s="3"/>
      <c r="I52" s="3"/>
      <c r="J52" s="3"/>
      <c r="K52" s="3"/>
    </row>
    <row r="53" customFormat="false" ht="60" hidden="false" customHeight="true" outlineLevel="0" collapsed="false">
      <c r="A53" s="20" t="s">
        <v>21</v>
      </c>
      <c r="B53" s="20"/>
      <c r="C53" s="20"/>
      <c r="D53" s="6" t="s">
        <v>456</v>
      </c>
      <c r="E53" s="6"/>
      <c r="F53" s="6"/>
      <c r="G53" s="6"/>
      <c r="H53" s="6"/>
      <c r="I53" s="6"/>
      <c r="J53" s="6"/>
      <c r="K53" s="6"/>
    </row>
    <row r="54" customFormat="false" ht="60" hidden="false" customHeight="true" outlineLevel="0" collapsed="false">
      <c r="A54" s="20" t="s">
        <v>389</v>
      </c>
      <c r="B54" s="20"/>
      <c r="C54" s="20"/>
      <c r="D54" s="3" t="str">
        <f aca="false">R18</f>
        <v>C7.Sample.xlsx: SAMPLE!A100 (screenshots A101, A107); 2026Q2PamBsiSox-Manager rows 92-94; 2026Q2BsiPamCyberark-Manager rows 425-427; Oct10_2026Users row 1599. Walkthrough: 4_Item Detail 2025 Q3 CISCO Network Administrators row 17, 2025 Q3 ISEAdmin row 55, 2026 Q1 CISCO Network Administrators row 105, 2026 Q1 ISEAdmin row 128; 5_Exceptions row 6. Policy: section B above.</v>
      </c>
      <c r="E54" s="3"/>
      <c r="F54" s="3"/>
      <c r="G54" s="3"/>
      <c r="H54" s="3"/>
      <c r="I54" s="3"/>
      <c r="J54" s="3"/>
      <c r="K54" s="3"/>
    </row>
    <row r="56" customFormat="false" ht="15" hidden="false" customHeight="false" outlineLevel="0" collapsed="false">
      <c r="A56" s="19" t="s">
        <v>458</v>
      </c>
      <c r="B56" s="19"/>
      <c r="C56" s="19"/>
      <c r="D56" s="19"/>
      <c r="E56" s="19"/>
      <c r="F56" s="19"/>
      <c r="G56" s="19"/>
      <c r="H56" s="19"/>
      <c r="I56" s="19"/>
      <c r="J56" s="19"/>
      <c r="K56" s="19"/>
    </row>
    <row r="57" customFormat="false" ht="31.5" hidden="false" customHeight="true" outlineLevel="0" collapsed="false">
      <c r="A57" s="20" t="s">
        <v>447</v>
      </c>
      <c r="B57" s="20"/>
      <c r="C57" s="20"/>
      <c r="D57" s="3" t="str">
        <f aca="false">H19&amp;". No Revoked decision in any review (reviewer: Borges, Dayam)."</f>
        <v>Approved 08/28/2025 / Approved 04/30/2026 / Approved 7/27/26, 12:45 PM (SOX) and 8/17/26, 9:23 AM (CyberArk). No Revoked decision in any review (reviewer: Borges, Dayam).</v>
      </c>
      <c r="E57" s="3"/>
      <c r="F57" s="3"/>
      <c r="G57" s="3"/>
      <c r="H57" s="3"/>
      <c r="I57" s="3"/>
      <c r="J57" s="3"/>
      <c r="K57" s="3"/>
    </row>
    <row r="58" customFormat="false" ht="31.5" hidden="false" customHeight="true" outlineLevel="0" collapsed="false">
      <c r="A58" s="20" t="s">
        <v>448</v>
      </c>
      <c r="B58" s="20"/>
      <c r="C58" s="20"/>
      <c r="D58" s="3" t="s">
        <v>449</v>
      </c>
      <c r="E58" s="3"/>
      <c r="F58" s="3"/>
      <c r="G58" s="3"/>
      <c r="H58" s="3"/>
      <c r="I58" s="3"/>
      <c r="J58" s="3"/>
      <c r="K58" s="3"/>
    </row>
    <row r="59" customFormat="false" ht="60" hidden="false" customHeight="true" outlineLevel="0" collapsed="false">
      <c r="A59" s="20" t="s">
        <v>450</v>
      </c>
      <c r="B59" s="20"/>
      <c r="C59" s="20"/>
      <c r="D59" s="12" t="s">
        <v>451</v>
      </c>
      <c r="E59" s="12"/>
      <c r="F59" s="12"/>
      <c r="G59" s="12"/>
      <c r="H59" s="12"/>
      <c r="I59" s="12"/>
      <c r="J59" s="12"/>
      <c r="K59" s="12"/>
    </row>
    <row r="60" customFormat="false" ht="31.5" hidden="false" customHeight="true" outlineLevel="0" collapsed="false">
      <c r="A60" s="20" t="s">
        <v>18</v>
      </c>
      <c r="B60" s="20"/>
      <c r="C60" s="20"/>
      <c r="D60" s="3" t="s">
        <v>452</v>
      </c>
      <c r="E60" s="3"/>
      <c r="F60" s="3"/>
      <c r="G60" s="3"/>
      <c r="H60" s="3"/>
      <c r="I60" s="3"/>
      <c r="J60" s="3"/>
      <c r="K60" s="3"/>
    </row>
    <row r="61" customFormat="false" ht="31.5" hidden="false" customHeight="true" outlineLevel="0" collapsed="false">
      <c r="A61" s="20" t="s">
        <v>453</v>
      </c>
      <c r="B61" s="20"/>
      <c r="C61" s="20"/>
      <c r="D61" s="3" t="str">
        <f aca="false">"C7.Sample.xlsx certification exports (all Approved, WorkItemID blank) and AD export (enabled 10/10/2026 = "&amp;IF(F19,"TRUE","FALSE")&amp;"). No Netwrix log, AD audit log or ServiceNow ticket was provided."</f>
        <v>C7.Sample.xlsx certification exports (all Approved, WorkItemID blank) and AD export (enabled 10/10/2026 = TRUE). No Netwrix log, AD audit log or ServiceNow ticket was provided.</v>
      </c>
      <c r="E61" s="3"/>
      <c r="F61" s="3"/>
      <c r="G61" s="3"/>
      <c r="H61" s="3"/>
      <c r="I61" s="3"/>
      <c r="J61" s="3"/>
      <c r="K61" s="3"/>
    </row>
    <row r="62" customFormat="false" ht="60" hidden="false" customHeight="true" outlineLevel="0" collapsed="false">
      <c r="A62" s="20" t="s">
        <v>21</v>
      </c>
      <c r="B62" s="20"/>
      <c r="C62" s="20"/>
      <c r="D62" s="6" t="s">
        <v>456</v>
      </c>
      <c r="E62" s="6"/>
      <c r="F62" s="6"/>
      <c r="G62" s="6"/>
      <c r="H62" s="6"/>
      <c r="I62" s="6"/>
      <c r="J62" s="6"/>
      <c r="K62" s="6"/>
    </row>
    <row r="63" customFormat="false" ht="60" hidden="false" customHeight="true" outlineLevel="0" collapsed="false">
      <c r="A63" s="20" t="s">
        <v>389</v>
      </c>
      <c r="B63" s="20"/>
      <c r="C63" s="20"/>
      <c r="D63" s="3" t="str">
        <f aca="false">R19</f>
        <v>C7.Sample.xlsx: SAMPLE!A114 (screenshots A115, A121); 2026Q2PamBsiSox-Manager rows 95-97; 2026Q2BsiPamCyberark-Manager rows 428-430; Oct10_2026Users row 1597. Walkthrough: 4_Item Detail 2025 Q3 CISCO Network Administrators row 18, 2025 Q3 ISEAdmin row 56, 2026 Q1 CISCO Network Administrators row 106, 2026 Q1 ISEAdmin row 129; 5_Exceptions row 7. Policy: section B above.</v>
      </c>
      <c r="E63" s="3"/>
      <c r="F63" s="3"/>
      <c r="G63" s="3"/>
      <c r="H63" s="3"/>
      <c r="I63" s="3"/>
      <c r="J63" s="3"/>
      <c r="K63" s="3"/>
    </row>
    <row r="65" customFormat="false" ht="15" hidden="false" customHeight="false" outlineLevel="0" collapsed="false">
      <c r="A65" s="19" t="s">
        <v>459</v>
      </c>
      <c r="B65" s="19"/>
      <c r="C65" s="19"/>
      <c r="D65" s="19"/>
      <c r="E65" s="19"/>
      <c r="F65" s="19"/>
      <c r="G65" s="19"/>
      <c r="H65" s="19"/>
      <c r="I65" s="19"/>
      <c r="J65" s="19"/>
      <c r="K65" s="19"/>
    </row>
    <row r="66" customFormat="false" ht="31.5" hidden="false" customHeight="true" outlineLevel="0" collapsed="false">
      <c r="A66" s="20" t="s">
        <v>447</v>
      </c>
      <c r="B66" s="20"/>
      <c r="C66" s="20"/>
      <c r="D66" s="3" t="str">
        <f aca="false">H20&amp;". No Revoked decision in any review (reviewer: Borges, Dayam)."</f>
        <v>Approved 08/28/2025 / Approved 04/30/2026 / Approved 7/27/26, 12:45 PM (SOX) and 8/17/26, 9:23 AM (CyberArk). No Revoked decision in any review (reviewer: Borges, Dayam).</v>
      </c>
      <c r="E66" s="3"/>
      <c r="F66" s="3"/>
      <c r="G66" s="3"/>
      <c r="H66" s="3"/>
      <c r="I66" s="3"/>
      <c r="J66" s="3"/>
      <c r="K66" s="3"/>
    </row>
    <row r="67" customFormat="false" ht="31.5" hidden="false" customHeight="true" outlineLevel="0" collapsed="false">
      <c r="A67" s="20" t="s">
        <v>448</v>
      </c>
      <c r="B67" s="20"/>
      <c r="C67" s="20"/>
      <c r="D67" s="3" t="s">
        <v>449</v>
      </c>
      <c r="E67" s="3"/>
      <c r="F67" s="3"/>
      <c r="G67" s="3"/>
      <c r="H67" s="3"/>
      <c r="I67" s="3"/>
      <c r="J67" s="3"/>
      <c r="K67" s="3"/>
    </row>
    <row r="68" customFormat="false" ht="60" hidden="false" customHeight="true" outlineLevel="0" collapsed="false">
      <c r="A68" s="20" t="s">
        <v>450</v>
      </c>
      <c r="B68" s="20"/>
      <c r="C68" s="20"/>
      <c r="D68" s="12" t="s">
        <v>451</v>
      </c>
      <c r="E68" s="12"/>
      <c r="F68" s="12"/>
      <c r="G68" s="12"/>
      <c r="H68" s="12"/>
      <c r="I68" s="12"/>
      <c r="J68" s="12"/>
      <c r="K68" s="12"/>
    </row>
    <row r="69" customFormat="false" ht="31.5" hidden="false" customHeight="true" outlineLevel="0" collapsed="false">
      <c r="A69" s="20" t="s">
        <v>18</v>
      </c>
      <c r="B69" s="20"/>
      <c r="C69" s="20"/>
      <c r="D69" s="3" t="s">
        <v>452</v>
      </c>
      <c r="E69" s="3"/>
      <c r="F69" s="3"/>
      <c r="G69" s="3"/>
      <c r="H69" s="3"/>
      <c r="I69" s="3"/>
      <c r="J69" s="3"/>
      <c r="K69" s="3"/>
    </row>
    <row r="70" customFormat="false" ht="31.5" hidden="false" customHeight="true" outlineLevel="0" collapsed="false">
      <c r="A70" s="20" t="s">
        <v>453</v>
      </c>
      <c r="B70" s="20"/>
      <c r="C70" s="20"/>
      <c r="D70" s="3" t="str">
        <f aca="false">"C7.Sample.xlsx certification exports (all Approved, WorkItemID blank) and AD export (enabled 10/10/2026 = "&amp;IF(F20,"TRUE","FALSE")&amp;"). No Netwrix log, AD audit log or ServiceNow ticket was provided."</f>
        <v>C7.Sample.xlsx certification exports (all Approved, WorkItemID blank) and AD export (enabled 10/10/2026 = TRUE). No Netwrix log, AD audit log or ServiceNow ticket was provided.</v>
      </c>
      <c r="E70" s="3"/>
      <c r="F70" s="3"/>
      <c r="G70" s="3"/>
      <c r="H70" s="3"/>
      <c r="I70" s="3"/>
      <c r="J70" s="3"/>
      <c r="K70" s="3"/>
    </row>
    <row r="71" customFormat="false" ht="60" hidden="false" customHeight="true" outlineLevel="0" collapsed="false">
      <c r="A71" s="20" t="s">
        <v>21</v>
      </c>
      <c r="B71" s="20"/>
      <c r="C71" s="20"/>
      <c r="D71" s="6" t="s">
        <v>460</v>
      </c>
      <c r="E71" s="6"/>
      <c r="F71" s="6"/>
      <c r="G71" s="6"/>
      <c r="H71" s="6"/>
      <c r="I71" s="6"/>
      <c r="J71" s="6"/>
      <c r="K71" s="6"/>
    </row>
    <row r="72" customFormat="false" ht="60" hidden="false" customHeight="true" outlineLevel="0" collapsed="false">
      <c r="A72" s="20" t="s">
        <v>389</v>
      </c>
      <c r="B72" s="20"/>
      <c r="C72" s="20"/>
      <c r="D72" s="3" t="str">
        <f aca="false">R20</f>
        <v>C7.Sample.xlsx: SAMPLE!A128 (screenshots A129, A135); 2026Q2PamBsiSox-Manager rows 104-106; 2026Q2BsiPamCyberark-Manager rows 437-439; Oct10_2026Users row 1787. Walkthrough: 4_Item Detail 2025 Q3 CISCO Network Administrators row 23, 2025 Q3 ISEAdmin row 58, 2026 Q1 CISCO Network Administrators row 110, 2026 Q1 ISEAdmin row 133; 5_Exceptions row 11. Policy: section B above.</v>
      </c>
      <c r="E72" s="3"/>
      <c r="F72" s="3"/>
      <c r="G72" s="3"/>
      <c r="H72" s="3"/>
      <c r="I72" s="3"/>
      <c r="J72" s="3"/>
      <c r="K72" s="3"/>
    </row>
    <row r="74" customFormat="false" ht="15" hidden="false" customHeight="false" outlineLevel="0" collapsed="false">
      <c r="A74" s="19" t="s">
        <v>461</v>
      </c>
      <c r="B74" s="19"/>
      <c r="C74" s="19"/>
      <c r="D74" s="19"/>
      <c r="E74" s="19"/>
      <c r="F74" s="19"/>
      <c r="G74" s="19"/>
      <c r="H74" s="19"/>
      <c r="I74" s="19"/>
      <c r="J74" s="19"/>
      <c r="K74" s="19"/>
    </row>
    <row r="75" customFormat="false" ht="31.5" hidden="false" customHeight="true" outlineLevel="0" collapsed="false">
      <c r="A75" s="20" t="s">
        <v>447</v>
      </c>
      <c r="B75" s="20"/>
      <c r="C75" s="20"/>
      <c r="D75" s="3" t="str">
        <f aca="false">H21&amp;". No Revoked decision in any review (reviewer: Borges, Dayam)."</f>
        <v>Approved 08/28/2025 / Approved 04/30/2026 / Approved 7/27/26, 12:45 PM (SOX) and 8/17/26, 9:23 AM (CyberArk). No Revoked decision in any review (reviewer: Borges, Dayam).</v>
      </c>
      <c r="E75" s="3"/>
      <c r="F75" s="3"/>
      <c r="G75" s="3"/>
      <c r="H75" s="3"/>
      <c r="I75" s="3"/>
      <c r="J75" s="3"/>
      <c r="K75" s="3"/>
    </row>
    <row r="76" customFormat="false" ht="31.5" hidden="false" customHeight="true" outlineLevel="0" collapsed="false">
      <c r="A76" s="20" t="s">
        <v>448</v>
      </c>
      <c r="B76" s="20"/>
      <c r="C76" s="20"/>
      <c r="D76" s="3" t="s">
        <v>449</v>
      </c>
      <c r="E76" s="3"/>
      <c r="F76" s="3"/>
      <c r="G76" s="3"/>
      <c r="H76" s="3"/>
      <c r="I76" s="3"/>
      <c r="J76" s="3"/>
      <c r="K76" s="3"/>
    </row>
    <row r="77" customFormat="false" ht="60" hidden="false" customHeight="true" outlineLevel="0" collapsed="false">
      <c r="A77" s="20" t="s">
        <v>450</v>
      </c>
      <c r="B77" s="20"/>
      <c r="C77" s="20"/>
      <c r="D77" s="12" t="s">
        <v>451</v>
      </c>
      <c r="E77" s="12"/>
      <c r="F77" s="12"/>
      <c r="G77" s="12"/>
      <c r="H77" s="12"/>
      <c r="I77" s="12"/>
      <c r="J77" s="12"/>
      <c r="K77" s="12"/>
    </row>
    <row r="78" customFormat="false" ht="31.5" hidden="false" customHeight="true" outlineLevel="0" collapsed="false">
      <c r="A78" s="20" t="s">
        <v>18</v>
      </c>
      <c r="B78" s="20"/>
      <c r="C78" s="20"/>
      <c r="D78" s="3" t="s">
        <v>452</v>
      </c>
      <c r="E78" s="3"/>
      <c r="F78" s="3"/>
      <c r="G78" s="3"/>
      <c r="H78" s="3"/>
      <c r="I78" s="3"/>
      <c r="J78" s="3"/>
      <c r="K78" s="3"/>
    </row>
    <row r="79" customFormat="false" ht="31.5" hidden="false" customHeight="true" outlineLevel="0" collapsed="false">
      <c r="A79" s="20" t="s">
        <v>453</v>
      </c>
      <c r="B79" s="20"/>
      <c r="C79" s="20"/>
      <c r="D79" s="3" t="str">
        <f aca="false">"C7.Sample.xlsx certification exports (all Approved, WorkItemID blank) and AD export (enabled 10/10/2026 = "&amp;IF(F21,"TRUE","FALSE")&amp;"). No Netwrix log, AD audit log or ServiceNow ticket was provided."</f>
        <v>C7.Sample.xlsx certification exports (all Approved, WorkItemID blank) and AD export (enabled 10/10/2026 = TRUE). No Netwrix log, AD audit log or ServiceNow ticket was provided.</v>
      </c>
      <c r="E79" s="3"/>
      <c r="F79" s="3"/>
      <c r="G79" s="3"/>
      <c r="H79" s="3"/>
      <c r="I79" s="3"/>
      <c r="J79" s="3"/>
      <c r="K79" s="3"/>
    </row>
    <row r="80" customFormat="false" ht="60" hidden="false" customHeight="true" outlineLevel="0" collapsed="false">
      <c r="A80" s="20" t="s">
        <v>21</v>
      </c>
      <c r="B80" s="20"/>
      <c r="C80" s="20"/>
      <c r="D80" s="6" t="s">
        <v>462</v>
      </c>
      <c r="E80" s="6"/>
      <c r="F80" s="6"/>
      <c r="G80" s="6"/>
      <c r="H80" s="6"/>
      <c r="I80" s="6"/>
      <c r="J80" s="6"/>
      <c r="K80" s="6"/>
    </row>
    <row r="81" customFormat="false" ht="60" hidden="false" customHeight="true" outlineLevel="0" collapsed="false">
      <c r="A81" s="20" t="s">
        <v>389</v>
      </c>
      <c r="B81" s="20"/>
      <c r="C81" s="20"/>
      <c r="D81" s="3" t="str">
        <f aca="false">R21</f>
        <v>C7.Sample.xlsx: SAMPLE!A142 (screenshots A143, A149); 2026Q2PamBsiSox-Manager rows 101-103; 2026Q2BsiPamCyberark-Manager rows 434-436; Oct10_2026Users row 1785. Walkthrough: 4_Item Detail 2025 Q3 CISCO Network Administrators row 24, 2025 Q3 ISEAdmin row 59, 2026 Q1 CISCO Network Administrators row 111, 2026 Q1 ISEAdmin row 134; 5_Exceptions row 12. Policy: section B above.</v>
      </c>
      <c r="E81" s="3"/>
      <c r="F81" s="3"/>
      <c r="G81" s="3"/>
      <c r="H81" s="3"/>
      <c r="I81" s="3"/>
      <c r="J81" s="3"/>
      <c r="K81" s="3"/>
    </row>
    <row r="83" customFormat="false" ht="15" hidden="false" customHeight="false" outlineLevel="0" collapsed="false">
      <c r="A83" s="14" t="s">
        <v>463</v>
      </c>
    </row>
    <row r="84" customFormat="false" ht="60" hidden="false" customHeight="true" outlineLevel="0" collapsed="false">
      <c r="A84" s="21" t="s">
        <v>464</v>
      </c>
      <c r="B84" s="21"/>
      <c r="C84" s="21"/>
      <c r="D84" s="21"/>
      <c r="E84" s="21"/>
      <c r="F84" s="21"/>
      <c r="G84" s="21"/>
      <c r="H84" s="21"/>
      <c r="I84" s="21"/>
      <c r="J84" s="21"/>
      <c r="K84" s="21"/>
    </row>
    <row r="85" customFormat="false" ht="60" hidden="false" customHeight="true" outlineLevel="0" collapsed="false">
      <c r="A85" s="21" t="s">
        <v>465</v>
      </c>
      <c r="B85" s="21"/>
      <c r="C85" s="21"/>
      <c r="D85" s="21"/>
      <c r="E85" s="21"/>
      <c r="F85" s="21"/>
      <c r="G85" s="21"/>
      <c r="H85" s="21"/>
      <c r="I85" s="21"/>
      <c r="J85" s="21"/>
      <c r="K85" s="21"/>
    </row>
    <row r="86" customFormat="false" ht="60" hidden="false" customHeight="true" outlineLevel="0" collapsed="false">
      <c r="A86" s="21" t="s">
        <v>466</v>
      </c>
      <c r="B86" s="21"/>
      <c r="C86" s="21"/>
      <c r="D86" s="21"/>
      <c r="E86" s="21"/>
      <c r="F86" s="21"/>
      <c r="G86" s="21"/>
      <c r="H86" s="21"/>
      <c r="I86" s="21"/>
      <c r="J86" s="21"/>
      <c r="K86" s="21"/>
    </row>
    <row r="87" customFormat="false" ht="60" hidden="false" customHeight="true" outlineLevel="0" collapsed="false">
      <c r="A87" s="21" t="s">
        <v>467</v>
      </c>
      <c r="B87" s="21"/>
      <c r="C87" s="21"/>
      <c r="D87" s="21"/>
      <c r="E87" s="21"/>
      <c r="F87" s="21"/>
      <c r="G87" s="21"/>
      <c r="H87" s="21"/>
      <c r="I87" s="21"/>
      <c r="J87" s="21"/>
      <c r="K87" s="21"/>
    </row>
  </sheetData>
  <mergeCells count="117">
    <mergeCell ref="A4:K4"/>
    <mergeCell ref="B7:C7"/>
    <mergeCell ref="D7:G7"/>
    <mergeCell ref="I7:J7"/>
    <mergeCell ref="B8:C8"/>
    <mergeCell ref="D8:G8"/>
    <mergeCell ref="I8:J8"/>
    <mergeCell ref="B9:C9"/>
    <mergeCell ref="D9:G9"/>
    <mergeCell ref="I9:J9"/>
    <mergeCell ref="B10:C10"/>
    <mergeCell ref="D10:G10"/>
    <mergeCell ref="I10:J10"/>
    <mergeCell ref="B11:C11"/>
    <mergeCell ref="D11:G11"/>
    <mergeCell ref="I11:J11"/>
    <mergeCell ref="B12:C12"/>
    <mergeCell ref="D12:G12"/>
    <mergeCell ref="I12:J12"/>
    <mergeCell ref="A23:G23"/>
    <mergeCell ref="A24:G24"/>
    <mergeCell ref="A25:G25"/>
    <mergeCell ref="A26:K26"/>
    <mergeCell ref="A29:K29"/>
    <mergeCell ref="A30:C30"/>
    <mergeCell ref="D30:K30"/>
    <mergeCell ref="A31:C31"/>
    <mergeCell ref="D31:K31"/>
    <mergeCell ref="A32:C32"/>
    <mergeCell ref="D32:K32"/>
    <mergeCell ref="A33:C33"/>
    <mergeCell ref="D33:K33"/>
    <mergeCell ref="A34:C34"/>
    <mergeCell ref="D34:K34"/>
    <mergeCell ref="A35:C35"/>
    <mergeCell ref="D35:K35"/>
    <mergeCell ref="A36:C36"/>
    <mergeCell ref="D36:K36"/>
    <mergeCell ref="A38:K38"/>
    <mergeCell ref="A39:C39"/>
    <mergeCell ref="D39:K39"/>
    <mergeCell ref="A40:C40"/>
    <mergeCell ref="D40:K40"/>
    <mergeCell ref="A41:C41"/>
    <mergeCell ref="D41:K41"/>
    <mergeCell ref="A42:C42"/>
    <mergeCell ref="D42:K42"/>
    <mergeCell ref="A43:C43"/>
    <mergeCell ref="D43:K43"/>
    <mergeCell ref="A44:C44"/>
    <mergeCell ref="D44:K44"/>
    <mergeCell ref="A45:C45"/>
    <mergeCell ref="D45:K45"/>
    <mergeCell ref="A47:K47"/>
    <mergeCell ref="A48:C48"/>
    <mergeCell ref="D48:K48"/>
    <mergeCell ref="A49:C49"/>
    <mergeCell ref="D49:K49"/>
    <mergeCell ref="A50:C50"/>
    <mergeCell ref="D50:K50"/>
    <mergeCell ref="A51:C51"/>
    <mergeCell ref="D51:K51"/>
    <mergeCell ref="A52:C52"/>
    <mergeCell ref="D52:K52"/>
    <mergeCell ref="A53:C53"/>
    <mergeCell ref="D53:K53"/>
    <mergeCell ref="A54:C54"/>
    <mergeCell ref="D54:K54"/>
    <mergeCell ref="A56:K56"/>
    <mergeCell ref="A57:C57"/>
    <mergeCell ref="D57:K57"/>
    <mergeCell ref="A58:C58"/>
    <mergeCell ref="D58:K58"/>
    <mergeCell ref="A59:C59"/>
    <mergeCell ref="D59:K59"/>
    <mergeCell ref="A60:C60"/>
    <mergeCell ref="D60:K60"/>
    <mergeCell ref="A61:C61"/>
    <mergeCell ref="D61:K61"/>
    <mergeCell ref="A62:C62"/>
    <mergeCell ref="D62:K62"/>
    <mergeCell ref="A63:C63"/>
    <mergeCell ref="D63:K63"/>
    <mergeCell ref="A65:K65"/>
    <mergeCell ref="A66:C66"/>
    <mergeCell ref="D66:K66"/>
    <mergeCell ref="A67:C67"/>
    <mergeCell ref="D67:K67"/>
    <mergeCell ref="A68:C68"/>
    <mergeCell ref="D68:K68"/>
    <mergeCell ref="A69:C69"/>
    <mergeCell ref="D69:K69"/>
    <mergeCell ref="A70:C70"/>
    <mergeCell ref="D70:K70"/>
    <mergeCell ref="A71:C71"/>
    <mergeCell ref="D71:K71"/>
    <mergeCell ref="A72:C72"/>
    <mergeCell ref="D72:K72"/>
    <mergeCell ref="A74:K74"/>
    <mergeCell ref="A75:C75"/>
    <mergeCell ref="D75:K75"/>
    <mergeCell ref="A76:C76"/>
    <mergeCell ref="D76:K76"/>
    <mergeCell ref="A77:C77"/>
    <mergeCell ref="D77:K77"/>
    <mergeCell ref="A78:C78"/>
    <mergeCell ref="D78:K78"/>
    <mergeCell ref="A79:C79"/>
    <mergeCell ref="D79:K79"/>
    <mergeCell ref="A80:C80"/>
    <mergeCell ref="D80:K80"/>
    <mergeCell ref="A81:C81"/>
    <mergeCell ref="D81:K81"/>
    <mergeCell ref="A84:K84"/>
    <mergeCell ref="A85:K85"/>
    <mergeCell ref="A86:K86"/>
    <mergeCell ref="A87:K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s>
  <sheetData>
    <row r="1" customFormat="false" ht="15" hidden="false" customHeight="false" outlineLevel="0" collapsed="false">
      <c r="A1" s="1" t="s">
        <v>468</v>
      </c>
    </row>
    <row r="3" customFormat="false" ht="15" hidden="false" customHeight="false" outlineLevel="0" collapsed="false">
      <c r="A3" s="2" t="s">
        <v>469</v>
      </c>
      <c r="B3" s="2" t="s">
        <v>470</v>
      </c>
    </row>
    <row r="4" customFormat="false" ht="15" hidden="false" customHeight="false" outlineLevel="0" collapsed="false">
      <c r="A4" s="22" t="n">
        <v>45658</v>
      </c>
      <c r="B4" s="23" t="s">
        <v>471</v>
      </c>
    </row>
    <row r="5" customFormat="false" ht="15" hidden="false" customHeight="false" outlineLevel="0" collapsed="false">
      <c r="A5" s="22" t="n">
        <v>45677</v>
      </c>
      <c r="B5" s="23" t="s">
        <v>472</v>
      </c>
    </row>
    <row r="6" customFormat="false" ht="15" hidden="false" customHeight="false" outlineLevel="0" collapsed="false">
      <c r="A6" s="22" t="n">
        <v>45705</v>
      </c>
      <c r="B6" s="23" t="s">
        <v>473</v>
      </c>
    </row>
    <row r="7" customFormat="false" ht="15" hidden="false" customHeight="false" outlineLevel="0" collapsed="false">
      <c r="A7" s="22" t="n">
        <v>45803</v>
      </c>
      <c r="B7" s="23" t="s">
        <v>474</v>
      </c>
    </row>
    <row r="8" customFormat="false" ht="15" hidden="false" customHeight="false" outlineLevel="0" collapsed="false">
      <c r="A8" s="22" t="n">
        <v>45827</v>
      </c>
      <c r="B8" s="23" t="s">
        <v>475</v>
      </c>
    </row>
    <row r="9" customFormat="false" ht="15" hidden="false" customHeight="false" outlineLevel="0" collapsed="false">
      <c r="A9" s="22" t="n">
        <v>45842</v>
      </c>
      <c r="B9" s="23" t="s">
        <v>476</v>
      </c>
    </row>
    <row r="10" customFormat="false" ht="15" hidden="false" customHeight="false" outlineLevel="0" collapsed="false">
      <c r="A10" s="22" t="n">
        <v>45901</v>
      </c>
      <c r="B10" s="23" t="s">
        <v>477</v>
      </c>
    </row>
    <row r="11" customFormat="false" ht="15" hidden="false" customHeight="false" outlineLevel="0" collapsed="false">
      <c r="A11" s="22" t="n">
        <v>45943</v>
      </c>
      <c r="B11" s="23" t="s">
        <v>478</v>
      </c>
    </row>
    <row r="12" customFormat="false" ht="15" hidden="false" customHeight="false" outlineLevel="0" collapsed="false">
      <c r="A12" s="22" t="n">
        <v>45972</v>
      </c>
      <c r="B12" s="23" t="s">
        <v>479</v>
      </c>
    </row>
    <row r="13" customFormat="false" ht="15" hidden="false" customHeight="false" outlineLevel="0" collapsed="false">
      <c r="A13" s="22" t="n">
        <v>45988</v>
      </c>
      <c r="B13" s="23" t="s">
        <v>480</v>
      </c>
    </row>
    <row r="14" customFormat="false" ht="15" hidden="false" customHeight="false" outlineLevel="0" collapsed="false">
      <c r="A14" s="22" t="n">
        <v>46016</v>
      </c>
      <c r="B14" s="23" t="s">
        <v>481</v>
      </c>
    </row>
    <row r="15" customFormat="false" ht="15" hidden="false" customHeight="false" outlineLevel="0" collapsed="false">
      <c r="A15" s="22" t="n">
        <v>46023</v>
      </c>
      <c r="B15" s="23" t="s">
        <v>471</v>
      </c>
    </row>
    <row r="16" customFormat="false" ht="15" hidden="false" customHeight="false" outlineLevel="0" collapsed="false">
      <c r="A16" s="22" t="n">
        <v>46041</v>
      </c>
      <c r="B16" s="23" t="s">
        <v>472</v>
      </c>
    </row>
    <row r="17" customFormat="false" ht="15" hidden="false" customHeight="false" outlineLevel="0" collapsed="false">
      <c r="A17" s="22" t="n">
        <v>46069</v>
      </c>
      <c r="B17" s="23" t="s">
        <v>473</v>
      </c>
    </row>
    <row r="18" customFormat="false" ht="15" hidden="false" customHeight="false" outlineLevel="0" collapsed="false">
      <c r="A18" s="22" t="n">
        <v>46167</v>
      </c>
      <c r="B18" s="23" t="s">
        <v>474</v>
      </c>
    </row>
    <row r="19" customFormat="false" ht="15" hidden="false" customHeight="false" outlineLevel="0" collapsed="false">
      <c r="A19" s="22" t="n">
        <v>46192</v>
      </c>
      <c r="B19" s="23" t="s">
        <v>475</v>
      </c>
    </row>
    <row r="20" customFormat="false" ht="15" hidden="false" customHeight="false" outlineLevel="0" collapsed="false">
      <c r="A20" s="22" t="n">
        <v>46206</v>
      </c>
      <c r="B20" s="23" t="s">
        <v>482</v>
      </c>
    </row>
    <row r="21" customFormat="false" ht="15" hidden="false" customHeight="false" outlineLevel="0" collapsed="false">
      <c r="A21" s="22" t="n">
        <v>46272</v>
      </c>
      <c r="B21" s="23" t="s">
        <v>477</v>
      </c>
    </row>
    <row r="22" customFormat="false" ht="15" hidden="false" customHeight="false" outlineLevel="0" collapsed="false">
      <c r="A22" s="22" t="n">
        <v>46307</v>
      </c>
      <c r="B22" s="23" t="s">
        <v>478</v>
      </c>
    </row>
    <row r="23" customFormat="false" ht="15" hidden="false" customHeight="false" outlineLevel="0" collapsed="false">
      <c r="A23" s="22" t="n">
        <v>46337</v>
      </c>
      <c r="B23" s="23" t="s">
        <v>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2026-10-13T17:33:10Z</dcterms:created>
  <dc:creator>openpyxl</dc:creator>
  <dc:description/>
  <dc:language>en-US</dc:language>
  <cp:lastModifiedBy/>
  <dcterms:modified xsi:type="dcterms:W3CDTF">2026-10-13T17:33:11Z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