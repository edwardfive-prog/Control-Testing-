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WP Summary" sheetId="1" state="visible" r:id="rId1"/>
    <sheet xmlns:r="http://schemas.openxmlformats.org/officeDocument/2006/relationships" name="Sample Attribute Testing" sheetId="2" state="visible" r:id="rId2"/>
    <sheet xmlns:r="http://schemas.openxmlformats.org/officeDocument/2006/relationships" name="Evidence Map" sheetId="3" state="visible" r:id="rId3"/>
    <sheet xmlns:r="http://schemas.openxmlformats.org/officeDocument/2006/relationships" name="Evidence Index" sheetId="4" state="visible" r:id="rId4"/>
    <sheet xmlns:r="http://schemas.openxmlformats.org/officeDocument/2006/relationships" name="Word Doc Cross-Ref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9C0006"/>
      <sz val="10"/>
    </font>
    <font>
      <name val="Arial"/>
      <charset val="1"/>
      <family val="0"/>
      <b val="1"/>
      <color rgb="FF006100"/>
      <sz val="11"/>
    </font>
  </fonts>
  <fills count="8">
    <fill>
      <patternFill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17365D"/>
        <bgColor rgb="FF333333"/>
      </patternFill>
    </fill>
    <fill>
      <patternFill patternType="solid">
        <fgColor rgb="FFF1F5F9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C7CE"/>
      </patternFill>
    </fill>
    <fill>
      <patternFill patternType="solid">
        <fgColor rgb="FFFFC7CE"/>
        <bgColor rgb="FFFFEB9C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9" fillId="7" borderId="1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10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9" fillId="7" borderId="1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5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10" fillId="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1F5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22"/>
  <sheetViews>
    <sheetView showFormulas="0" showGridLines="1" showRowColHeaders="1" showZeros="1" rightToLeft="0" tabSelected="1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7" min="1" max="1"/>
    <col width="46" customWidth="1" style="17" min="2" max="2"/>
    <col width="4" customWidth="1" style="17" min="3" max="3"/>
    <col width="30" customWidth="1" style="17" min="4" max="4"/>
    <col width="12" customWidth="1" style="17" min="5" max="7"/>
    <col width="30" customWidth="1" style="17" min="8" max="8"/>
  </cols>
  <sheetData>
    <row r="1" ht="25.5" customHeight="1" s="18">
      <c r="A1" s="19" t="inlineStr">
        <is>
          <t>BSI.IT.27.C7 – Network Device Admin Account Review – Sample of One Workpaper (MIA25142)</t>
        </is>
      </c>
    </row>
    <row r="2" ht="15" customHeight="1" s="18">
      <c r="A2" s="20" t="inlineStr">
        <is>
          <t>Supports the Word document "BSI.IT.27.C7_Design_WT_Sample_of_1_MIA25142.docx (folder BSI.IT.27.C7)". Each row gives the matching section / exhibit of that document.</t>
        </is>
      </c>
    </row>
    <row r="3" ht="31.5" customHeight="1" s="18">
      <c r="A3" s="21" t="n"/>
      <c r="B3" s="21" t="n"/>
      <c r="C3" s="21" t="n"/>
      <c r="D3" s="22" t="inlineStr">
        <is>
          <t>KPI</t>
        </is>
      </c>
      <c r="E3" s="22" t="inlineStr">
        <is>
          <t>Tested</t>
        </is>
      </c>
      <c r="F3" s="22" t="inlineStr">
        <is>
          <t>Passed</t>
        </is>
      </c>
      <c r="G3" s="22" t="inlineStr">
        <is>
          <t>Exceptions</t>
        </is>
      </c>
      <c r="H3" s="22" t="inlineStr">
        <is>
          <t>Status</t>
        </is>
      </c>
    </row>
    <row r="4" ht="33.75" customHeight="1" s="18">
      <c r="A4" s="23" t="inlineStr">
        <is>
          <t>Control</t>
        </is>
      </c>
      <c r="B4" s="24" t="inlineStr">
        <is>
          <t>BSI.IT.27.C7 – Network Device Admin Account Review</t>
        </is>
      </c>
      <c r="D4" s="24" t="inlineStr">
        <is>
          <t>Control attributes tested (A1-A6)</t>
        </is>
      </c>
      <c r="E4" s="24">
        <f>COUNTA('Sample Attribute Testing'!E5:E14)</f>
        <v/>
      </c>
      <c r="F4" s="24">
        <f>COUNTIF('Sample Attribute Testing'!E5:E14,"PASS")</f>
        <v/>
      </c>
      <c r="G4" s="24">
        <f>E4-F4</f>
        <v/>
      </c>
      <c r="H4" s="25">
        <f>IF(G4=0,"PASS","FAIL")</f>
        <v/>
      </c>
    </row>
    <row r="5" ht="72" customHeight="1" s="18">
      <c r="A5" s="23" t="inlineStr">
        <is>
          <t>Control description</t>
        </is>
      </c>
      <c r="B5" s="24" t="inlineStr">
        <is>
          <t>[BSI.IT.27.C7 Network Device Admin Account Review] At least semiannually, InfoSec initiates accounts reviews for network device administrators, users and service accounts that will be performed by managers or account owners. Inappropriate access is revoked by PAM/IAM team, within SLA.</t>
        </is>
      </c>
      <c r="D5" s="24" t="inlineStr">
        <is>
          <t>Revocations removed within SLA</t>
        </is>
      </c>
      <c r="E5" s="24">
        <f>1</f>
        <v/>
      </c>
      <c r="F5" s="24">
        <f>COUNTIF('Sample Attribute Testing'!E11:E12,"PASS")/2</f>
        <v/>
      </c>
      <c r="G5" s="24">
        <f>E5-F5</f>
        <v/>
      </c>
      <c r="H5" s="25">
        <f>IF(G5=0,"PASS","FAIL")</f>
        <v/>
      </c>
    </row>
    <row r="6" ht="33.75" customHeight="1" s="18">
      <c r="A6" s="23" t="inlineStr">
        <is>
          <t>Review period</t>
        </is>
      </c>
      <c r="B6" s="24" t="inlineStr">
        <is>
          <t>07/01/2025 – 06/30/2026</t>
        </is>
      </c>
      <c r="D6" s="24" t="inlineStr">
        <is>
          <t>Observations (not exceptions)</t>
        </is>
      </c>
      <c r="E6" s="24">
        <f>COUNTA('Sample Attribute Testing'!A17:A19)</f>
        <v/>
      </c>
      <c r="F6" s="24">
        <f>0</f>
        <v/>
      </c>
      <c r="G6" s="24" t="n">
        <v>0</v>
      </c>
      <c r="H6" s="26" t="inlineStr">
        <is>
          <t>OBSERVATION</t>
        </is>
      </c>
    </row>
    <row r="7" ht="33.75" customHeight="1" s="18">
      <c r="A7" s="23" t="inlineStr">
        <is>
          <t>Sample of one</t>
        </is>
      </c>
      <c r="B7" s="24" t="inlineStr">
        <is>
          <t>MIA25142 – Miguel Nieves Nieves (identity 100546241); CISCO Network Administrators and ISEAdmin; 2025 Q3 PAM BSI SOX Manager Certification</t>
        </is>
      </c>
    </row>
    <row r="8" ht="33.75" customHeight="1" s="18">
      <c r="A8" s="23" t="inlineStr">
        <is>
          <t>Design rating</t>
        </is>
      </c>
      <c r="B8" s="24" t="inlineStr">
        <is>
          <t>Satisfactory (4 observations) – Word doc Section 1</t>
        </is>
      </c>
    </row>
    <row r="9" ht="33.75" customHeight="1" s="18">
      <c r="A9" s="23" t="inlineStr">
        <is>
          <t>Sample result</t>
        </is>
      </c>
      <c r="B9" s="27">
        <f>IF(COUNTIF('Sample Attribute Testing'!E5:E14,"PASS")=COUNTA('Sample Attribute Testing'!E5:E14),"PASS – all attributes met","FAIL")</f>
        <v/>
      </c>
    </row>
    <row r="10" ht="33.75" customHeight="1" s="18">
      <c r="A10" s="23" t="inlineStr">
        <is>
          <t>Word document</t>
        </is>
      </c>
      <c r="B10" s="24" t="inlineStr">
        <is>
          <t>BSI.IT.27.C7_Design_WT_Sample_of_1_MIA25142.docx (folder BSI.IT.27.C7)</t>
        </is>
      </c>
    </row>
    <row r="11" ht="33.75" customHeight="1" s="18">
      <c r="A11" s="23" t="inlineStr">
        <is>
          <t>Walkthrough</t>
        </is>
      </c>
      <c r="B11" s="24" t="inlineStr">
        <is>
          <t>[Date / attendees – to be completed] – Word doc Section 2</t>
        </is>
      </c>
    </row>
    <row r="12"/>
    <row r="13" ht="15" customHeight="1" s="18">
      <c r="A13" s="28" t="inlineStr">
        <is>
          <t>Testing procedures and results (Word doc Section 3)</t>
        </is>
      </c>
    </row>
    <row r="14" ht="31.5" customHeight="1" s="18">
      <c r="A14" s="22" t="inlineStr">
        <is>
          <t>Step</t>
        </is>
      </c>
      <c r="B14" s="22" t="inlineStr">
        <is>
          <t>Procedure</t>
        </is>
      </c>
      <c r="C14" s="22" t="n"/>
      <c r="D14" s="22" t="inlineStr">
        <is>
          <t>Result</t>
        </is>
      </c>
      <c r="E14" s="22" t="n"/>
      <c r="F14" s="22" t="n"/>
      <c r="G14" s="22" t="n"/>
      <c r="H14" s="22" t="inlineStr">
        <is>
          <t>Word doc reference</t>
        </is>
      </c>
    </row>
    <row r="15" ht="31.5" customHeight="1" s="18">
      <c r="A15" s="29" t="inlineStr">
        <is>
          <t>1 Obtain evidence</t>
        </is>
      </c>
      <c r="B15" s="24" t="inlineStr">
        <is>
          <t>Policies (E01-E03), 2025 Q3 / 2026 Q1 certifications with AD extracts and Netwrix (E04-E05), management response (E07)</t>
        </is>
      </c>
      <c r="C15" s="30" t="n"/>
      <c r="D15" s="29" t="inlineStr">
        <is>
          <t>Obtained; ServiceNow ticket not provided (O1)</t>
        </is>
      </c>
      <c r="E15" s="31" t="n"/>
      <c r="F15" s="31" t="n"/>
      <c r="G15" s="30" t="n"/>
      <c r="H15" s="24" t="inlineStr">
        <is>
          <t>Evidence references table</t>
        </is>
      </c>
    </row>
    <row r="16" ht="31.5" customHeight="1" s="18">
      <c r="A16" s="29" t="inlineStr">
        <is>
          <t>2-3 Population and scope</t>
        </is>
      </c>
      <c r="B16" s="24" t="inlineStr">
        <is>
          <t>Confirm MIA25142 memberships are in scope (Definition of Privilege 3.3) and in the campaign</t>
        </is>
      </c>
      <c r="C16" s="30" t="n"/>
      <c r="D16" s="32" t="inlineStr">
        <is>
          <t>PASS</t>
        </is>
      </c>
      <c r="E16" s="31" t="n"/>
      <c r="F16" s="31" t="n"/>
      <c r="G16" s="30" t="n"/>
      <c r="H16" s="24" t="inlineStr">
        <is>
          <t>Section 3 row 3</t>
        </is>
      </c>
    </row>
    <row r="17" ht="31.5" customHeight="1" s="18">
      <c r="A17" s="29" t="inlineStr">
        <is>
          <t>4 Control execution</t>
        </is>
      </c>
      <c r="B17" s="24" t="inlineStr">
        <is>
          <t>Initiation, reviewer, decision, revocation identified</t>
        </is>
      </c>
      <c r="C17" s="30" t="n"/>
      <c r="D17" s="32" t="inlineStr">
        <is>
          <t>PASS</t>
        </is>
      </c>
      <c r="E17" s="31" t="n"/>
      <c r="F17" s="31" t="n"/>
      <c r="G17" s="30" t="n"/>
      <c r="H17" s="24" t="inlineStr">
        <is>
          <t>Section 3 rows 1-6</t>
        </is>
      </c>
    </row>
    <row r="18" ht="31.5" customHeight="1" s="18">
      <c r="A18" s="29" t="inlineStr">
        <is>
          <t>5 Control results</t>
        </is>
      </c>
      <c r="B18" s="24" t="inlineStr">
        <is>
          <t>Removal by PAM/IAM within 30 business days of the close of the review</t>
        </is>
      </c>
      <c r="C18" s="30" t="n"/>
      <c r="D18" s="29" t="inlineStr">
        <is>
          <t>FAIL - removed in 2 business days (within SLA) but back in AD by 11/25/2025</t>
        </is>
      </c>
      <c r="E18" s="31" t="n"/>
      <c r="F18" s="31" t="n"/>
      <c r="G18" s="30" t="n"/>
      <c r="H18" s="24" t="inlineStr">
        <is>
          <t>Section 3 rows 7-8; Exhibit A3</t>
        </is>
      </c>
    </row>
    <row r="19" ht="31.5" customHeight="1" s="18">
      <c r="A19" s="29" t="inlineStr">
        <is>
          <t>6-7 Exceptions / escalation</t>
        </is>
      </c>
      <c r="B19" s="24" t="inlineStr">
        <is>
          <t>Exception record, escalation (PAM Proc. sec. 4.2) and re-grant request for the returned access</t>
        </is>
      </c>
      <c r="C19" s="30" t="n"/>
      <c r="D19" s="29" t="inlineStr">
        <is>
          <t>FAIL - none provided</t>
        </is>
      </c>
      <c r="E19" s="31" t="n"/>
      <c r="F19" s="31" t="n"/>
      <c r="G19" s="30" t="n"/>
      <c r="H19" s="24" t="inlineStr">
        <is>
          <t>Section 3 rows 9-11</t>
        </is>
      </c>
    </row>
    <row r="20" ht="31.5" customHeight="1" s="18">
      <c r="A20" s="29" t="inlineStr">
        <is>
          <t>8-9 Risk / coverage</t>
        </is>
      </c>
      <c r="B20" s="24" t="inlineStr">
        <is>
          <t>Control mitigates inappropriate privileged network access for the sample</t>
        </is>
      </c>
      <c r="C20" s="30" t="n"/>
      <c r="D20" s="29" t="inlineStr">
        <is>
          <t>FAIL - access identified as inappropriate was back within 3 months</t>
        </is>
      </c>
      <c r="E20" s="31" t="n"/>
      <c r="F20" s="31" t="n"/>
      <c r="G20" s="30" t="n"/>
      <c r="H20" s="24" t="inlineStr">
        <is>
          <t>Section 2 last paragraph; Conclusion</t>
        </is>
      </c>
    </row>
    <row r="21"/>
    <row r="22" ht="45" customHeight="1" s="18">
      <c r="A22" s="33" t="inlineStr">
        <is>
          <t>Conclusion</t>
        </is>
      </c>
      <c r="B22" s="34" t="inlineStr">
        <is>
          <t>Sample MIA25142 FAILED attribute A6 (access stays removed): review initiated by InfoSec, performed by the authorized line manager and documented; access removed on 09/02/2025 within the 30-business-day SLA (SUS.IAMS.4.2.5.21) but back in both groups by 11/25/2025 without a request or escalation (SUS.IAMS.4.2.5.10; PAM Proc. 4.1.1 C4, sec. 4.2), and approved again in 2026 Q1 (A5 - E3). Word doc: Section 3 Conclusion</t>
        </is>
      </c>
    </row>
  </sheetData>
  <mergeCells count="16">
    <mergeCell ref="B22:H22"/>
    <mergeCell ref="D18:G18"/>
    <mergeCell ref="B16:C16"/>
    <mergeCell ref="D17:G17"/>
    <mergeCell ref="B15:C15"/>
    <mergeCell ref="B19:C19"/>
    <mergeCell ref="A2:H2"/>
    <mergeCell ref="B20:C20"/>
    <mergeCell ref="D16:G16"/>
    <mergeCell ref="D20:G20"/>
    <mergeCell ref="A13:H13"/>
    <mergeCell ref="D15:G15"/>
    <mergeCell ref="D19:G19"/>
    <mergeCell ref="A1:H1"/>
    <mergeCell ref="B18:C18"/>
    <mergeCell ref="B17:C17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G21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17" min="1" max="1"/>
    <col width="40" customWidth="1" style="17" min="2" max="2"/>
    <col width="60" customWidth="1" style="17" min="3" max="3"/>
    <col width="40" customWidth="1" style="17" min="4" max="4"/>
    <col width="14" customWidth="1" style="17" min="5" max="5"/>
    <col width="26" customWidth="1" style="17" min="6" max="6"/>
    <col width="40" customWidth="1" style="17" min="7" max="7"/>
  </cols>
  <sheetData>
    <row r="1" ht="25.5" customHeight="1" s="18">
      <c r="A1" s="19" t="inlineStr">
        <is>
          <t>Sample MIA25142 – attribute testing against the control description</t>
        </is>
      </c>
    </row>
    <row r="2" ht="15" customHeight="1" s="18">
      <c r="A2" s="20" t="inlineStr">
        <is>
          <t>One row per control statement phrase. Evidence refs point to the Evidence Index tab; Word doc reference points to the sample-of-one document.</t>
        </is>
      </c>
    </row>
    <row r="3"/>
    <row r="4" ht="31.5" customHeight="1" s="18">
      <c r="A4" s="22" t="inlineStr">
        <is>
          <t>Attr.</t>
        </is>
      </c>
      <c r="B4" s="22" t="inlineStr">
        <is>
          <t>Control statement / workpaper column</t>
        </is>
      </c>
      <c r="C4" s="22" t="inlineStr">
        <is>
          <t>Value / conclusion</t>
        </is>
      </c>
      <c r="D4" s="22" t="inlineStr">
        <is>
          <t>Evidence reference</t>
        </is>
      </c>
      <c r="E4" s="22" t="inlineStr">
        <is>
          <t>Result</t>
        </is>
      </c>
      <c r="F4" s="22" t="inlineStr">
        <is>
          <t>Word doc reference</t>
        </is>
      </c>
      <c r="G4" s="22" t="inlineStr">
        <is>
          <t>Policy criteria</t>
        </is>
      </c>
    </row>
    <row r="5" ht="45" customHeight="1" s="18">
      <c r="A5" s="29" t="inlineStr">
        <is>
          <t>A1</t>
        </is>
      </c>
      <c r="B5" s="24" t="inlineStr">
        <is>
          <t>"At least semiannually" - frequency</t>
        </is>
      </c>
      <c r="C5" s="24" t="inlineStr">
        <is>
          <t>2025 Q3 review (launched 08/01/2025) for H2 2025 and 2026 Q1 review (launched 04/09/2026) for H1 2026; MIA25142 included in both</t>
        </is>
      </c>
      <c r="D5" s="24" t="inlineStr">
        <is>
          <t>E04; E05; E06 tab 2_Step-by-Step 4.1</t>
        </is>
      </c>
      <c r="E5" s="32" t="inlineStr">
        <is>
          <t>PASS</t>
        </is>
      </c>
      <c r="F5" s="24" t="inlineStr">
        <is>
          <t>Section 3, row 1</t>
        </is>
      </c>
      <c r="G5" s="24" t="inlineStr">
        <is>
          <t>SUS.IAMS.4.2.5.6, 4.2.5.19; PAM Proc. sec. 2, 4.1.1 C1</t>
        </is>
      </c>
    </row>
    <row r="6" ht="45" customHeight="1" s="18">
      <c r="A6" s="29" t="inlineStr">
        <is>
          <t>A1</t>
        </is>
      </c>
      <c r="B6" s="24" t="inlineStr">
        <is>
          <t>"InfoSec initiates accounts reviews" - initiation</t>
        </is>
      </c>
      <c r="C6" s="24" t="inlineStr">
        <is>
          <t>2025 Q3 PAM BSI SOX Manager Certification launched by the PAM US Team in SanIAM / SailPoint</t>
        </is>
      </c>
      <c r="D6" s="24" t="inlineStr">
        <is>
          <t>E04 (tab 2); E02 4.1.1 C1, sec. 8 steps 1-7</t>
        </is>
      </c>
      <c r="E6" s="32" t="inlineStr">
        <is>
          <t>PASS</t>
        </is>
      </c>
      <c r="F6" s="24" t="inlineStr">
        <is>
          <t>Section 3, row 2</t>
        </is>
      </c>
      <c r="G6" s="24" t="inlineStr">
        <is>
          <t>SUS.IAMS.4.2.5.6, 4.2.5.19; PAM Proc. sec. 2, 4.1.1 C1</t>
        </is>
      </c>
    </row>
    <row r="7" ht="45" customHeight="1" s="18">
      <c r="A7" s="29" t="inlineStr">
        <is>
          <t>A2</t>
        </is>
      </c>
      <c r="B7" s="24" t="inlineStr">
        <is>
          <t>"for network device administrators, users and service accounts" - completeness</t>
        </is>
      </c>
      <c r="C7" s="24" t="inlineStr">
        <is>
          <t>MIA25142 (person account, identity 100546241) in CISCO Network Administrators and ISEAdmin - both memberships in the AD extract and in the campaign</t>
        </is>
      </c>
      <c r="D7" s="24" t="inlineStr">
        <is>
          <t>E04 (rows 2538-2539; AD extract row 1639); E03 sec. 3.3</t>
        </is>
      </c>
      <c r="E7" s="32" t="inlineStr">
        <is>
          <t>PASS</t>
        </is>
      </c>
      <c r="F7" s="24" t="inlineStr">
        <is>
          <t>Section 3, row 3</t>
        </is>
      </c>
      <c r="G7" s="24" t="inlineStr">
        <is>
          <t>SUS.IAMS.4.2.5.10; PAM Proc. 4.1 C1; Def. of Privilege 3.3</t>
        </is>
      </c>
    </row>
    <row r="8" ht="45" customHeight="1" s="18">
      <c r="A8" s="29" t="inlineStr">
        <is>
          <t>A3</t>
        </is>
      </c>
      <c r="B8" s="24" t="inlineStr">
        <is>
          <t>"performed by managers or account owners" - reviewer</t>
        </is>
      </c>
      <c r="C8" s="24" t="inlineStr">
        <is>
          <t>Borges, Dayam - line manager (Manager Name = Decision Maker); not the account holder</t>
        </is>
      </c>
      <c r="D8" s="24" t="inlineStr">
        <is>
          <t>E04 (rows 2538-2539); E02 4.1.1 C2; E01 SUS.IAMS.4.2.5.6</t>
        </is>
      </c>
      <c r="E8" s="32" t="inlineStr">
        <is>
          <t>PASS</t>
        </is>
      </c>
      <c r="F8" s="24" t="inlineStr">
        <is>
          <t>Section 3, row 4</t>
        </is>
      </c>
      <c r="G8" s="24" t="inlineStr">
        <is>
          <t>SUS.IAMS.4.2.5.6; PAM Proc. 4.1.1 C2</t>
        </is>
      </c>
    </row>
    <row r="9" ht="45" customHeight="1" s="18">
      <c r="A9" s="29" t="inlineStr">
        <is>
          <t>A4</t>
        </is>
      </c>
      <c r="B9" s="24" t="inlineStr">
        <is>
          <t>Review decision documented</t>
        </is>
      </c>
      <c r="C9" s="24" t="inlineStr">
        <is>
          <t>Revoked - 08/28/2025, signed off in SanIAM</t>
        </is>
      </c>
      <c r="D9" s="24" t="inlineStr">
        <is>
          <t>E04 (rows 2538-2539); E02 sec. 8 step 8</t>
        </is>
      </c>
      <c r="E9" s="32" t="inlineStr">
        <is>
          <t>PASS</t>
        </is>
      </c>
      <c r="F9" s="24" t="inlineStr">
        <is>
          <t>Section 3, row 5; Exhibit A3</t>
        </is>
      </c>
      <c r="G9" s="24" t="inlineStr">
        <is>
          <t>PAM Proc. 4.1.1 C2, sec. 8 step 8</t>
        </is>
      </c>
    </row>
    <row r="10" ht="45" customHeight="1" s="18">
      <c r="A10" s="29" t="inlineStr">
        <is>
          <t>A5</t>
        </is>
      </c>
      <c r="B10" s="24" t="inlineStr">
        <is>
          <t>"Inappropriate access" identified</t>
        </is>
      </c>
      <c r="C10" s="24" t="inlineStr">
        <is>
          <t>Yes - the line manager revoked both privileged memberships through the review</t>
        </is>
      </c>
      <c r="D10" s="24" t="inlineStr">
        <is>
          <t>E04 (rows 2538-2539); E01 SUS.IAMS.4.2.5.1, 4.2.5.7</t>
        </is>
      </c>
      <c r="E10" s="32" t="inlineStr">
        <is>
          <t>PASS</t>
        </is>
      </c>
      <c r="F10" s="24" t="inlineStr">
        <is>
          <t>Section 3, row 6</t>
        </is>
      </c>
      <c r="G10" s="24" t="inlineStr">
        <is>
          <t>SUS.IAMS.4.2.5.1, 4.2.5.7</t>
        </is>
      </c>
    </row>
    <row r="11" ht="45" customHeight="1" s="18">
      <c r="A11" s="29" t="inlineStr">
        <is>
          <t>A6</t>
        </is>
      </c>
      <c r="B11" s="24" t="inlineStr">
        <is>
          <t>"is revoked by PAM/IAM team" - removal</t>
        </is>
      </c>
      <c r="C11" s="24" t="inlineStr">
        <is>
          <t>Both memberships removed on 09/02/2025 per Netwrix, matching the decision</t>
        </is>
      </c>
      <c r="D11" s="24" t="inlineStr">
        <is>
          <t>E04 Netwrix log; E02 4.1.1 C3-C4, step 10; E01 SUS.IAMS.4.2.5.10</t>
        </is>
      </c>
      <c r="E11" s="32" t="inlineStr">
        <is>
          <t>PASS</t>
        </is>
      </c>
      <c r="F11" s="24" t="inlineStr">
        <is>
          <t>Section 3, row 7; Exhibit A3</t>
        </is>
      </c>
      <c r="G11" s="24" t="inlineStr">
        <is>
          <t>SUS.IAMS.4.2.5.21, 4.2.5.10; PAM Proc. 4.1.1 C3-C4</t>
        </is>
      </c>
    </row>
    <row r="12" ht="45" customHeight="1" s="18">
      <c r="A12" s="29" t="inlineStr">
        <is>
          <t>A6</t>
        </is>
      </c>
      <c r="B12" s="24" t="inlineStr">
        <is>
          <t>"within SLA" - timeliness</t>
        </is>
      </c>
      <c r="C12" s="24" t="inlineStr">
        <is>
          <t>2 business days after the 08/28/2025 close of review; deadline 10/10/2025 (30 business days)</t>
        </is>
      </c>
      <c r="D12" s="24" t="inlineStr">
        <is>
          <t>E04; E01 SUS.IAMS.4.2.5.21</t>
        </is>
      </c>
      <c r="E12" s="32" t="inlineStr">
        <is>
          <t>PASS</t>
        </is>
      </c>
      <c r="F12" s="24" t="inlineStr">
        <is>
          <t>Section 3, row 8; Exhibit A3</t>
        </is>
      </c>
      <c r="G12" s="24" t="inlineStr">
        <is>
          <t>SUS.IAMS.4.2.5.21, 4.2.5.10; PAM Proc. 4.1.1 C3-C4</t>
        </is>
      </c>
    </row>
    <row r="13" ht="45" customHeight="1" s="18">
      <c r="A13" s="29" t="inlineStr">
        <is>
          <t>A6</t>
        </is>
      </c>
      <c r="B13" s="24" t="inlineStr">
        <is>
          <t>Access stayed removed - persistence</t>
        </is>
      </c>
      <c r="C13" s="24" t="inlineStr">
        <is>
          <t>No - member of both groups again in AD on 11/25/2025; no approved request, Netwrix "member added" event or escalation</t>
        </is>
      </c>
      <c r="D13" s="24" t="inlineStr">
        <is>
          <t>E04 AD row 1639; E06 4_Item Detail rows 19, 57; E06 5_Exceptions row 8</t>
        </is>
      </c>
      <c r="E13" s="29" t="inlineStr">
        <is>
          <t>FAIL</t>
        </is>
      </c>
      <c r="F13" s="24" t="inlineStr">
        <is>
          <t>Section 3, row 9; Exhibit A3</t>
        </is>
      </c>
      <c r="G13" s="24" t="inlineStr">
        <is>
          <t>SUS.IAMS.4.2.5.21, 4.2.5.10; PAM Proc. 4.1.1 C3-C4</t>
        </is>
      </c>
    </row>
    <row r="14" ht="45" customHeight="1" s="18">
      <c r="A14" s="29" t="inlineStr">
        <is>
          <t>A5</t>
        </is>
      </c>
      <c r="B14" s="24" t="inlineStr">
        <is>
          <t>2026 Q1 review of the re-added access (E3)</t>
        </is>
      </c>
      <c r="C14" s="24" t="inlineStr">
        <is>
          <t>Approved 04/30/2026 without an approved re-grant request</t>
        </is>
      </c>
      <c r="D14" s="24" t="inlineStr">
        <is>
          <t>E05 rows 3260, 3265; E06 4_Item Detail rows 107, 130</t>
        </is>
      </c>
      <c r="E14" s="29" t="inlineStr">
        <is>
          <t>FAIL</t>
        </is>
      </c>
      <c r="F14" s="24" t="inlineStr">
        <is>
          <t>Section 3, row 10; Exhibit A4</t>
        </is>
      </c>
      <c r="G14" s="24" t="inlineStr">
        <is>
          <t>SUS.IAMS.4.2.5.1, 4.2.5.7</t>
        </is>
      </c>
    </row>
    <row r="15"/>
    <row r="16" ht="15" customHeight="1" s="18">
      <c r="A16" s="28" t="inlineStr">
        <is>
          <t>Observations (not exceptions)</t>
        </is>
      </c>
    </row>
    <row r="17" ht="69.75" customHeight="1" s="18">
      <c r="A17" s="29" t="inlineStr">
        <is>
          <t>O1</t>
        </is>
      </c>
      <c r="B17" s="24" t="inlineStr">
        <is>
          <t>ServiceNow revocation ticket</t>
        </is>
      </c>
      <c r="C17" s="24" t="inlineStr">
        <is>
          <t>Not provided by management; removal evidenced by Netwrix</t>
        </is>
      </c>
      <c r="D17" s="24" t="inlineStr">
        <is>
          <t>E06 tab 7_Evidence Status #12</t>
        </is>
      </c>
      <c r="E17" s="35" t="inlineStr">
        <is>
          <t>OBSERVATION</t>
        </is>
      </c>
      <c r="F17" s="24" t="inlineStr">
        <is>
          <t>Section 3, row 13</t>
        </is>
      </c>
      <c r="G17" s="24" t="inlineStr">
        <is>
          <t>PAM Proc. 4.1.1 C3</t>
        </is>
      </c>
    </row>
    <row r="18" ht="69.75" customHeight="1" s="18">
      <c r="A18" s="29" t="inlineStr">
        <is>
          <t>O2</t>
        </is>
      </c>
      <c r="B18" s="24" t="inlineStr">
        <is>
          <t>2026 Q2 status (after the period)</t>
        </is>
      </c>
      <c r="C18" s="24" t="inlineStr">
        <is>
          <t>Still approved: SOX Manager 07/27/2026, CyberArk Manager 08/17/2026; AD enabled 10/10/2026</t>
        </is>
      </c>
      <c r="D18" s="24" t="inlineStr">
        <is>
          <t>E07 / E06 blue tabs: SOX rows 98-100, CyberArk rows 431-433, Oct10_2026Users row 1621; E06 9_Sample Tab Review row 15</t>
        </is>
      </c>
      <c r="E18" s="35" t="inlineStr">
        <is>
          <t>OBSERVATION</t>
        </is>
      </c>
      <c r="F18" s="24" t="inlineStr">
        <is>
          <t>Section 3, row 11; Exhibits A1, A2, A4</t>
        </is>
      </c>
      <c r="G18" s="24" t="inlineStr">
        <is>
          <t>SUS.IAMS.4.2.3.4 (provisioning control)</t>
        </is>
      </c>
    </row>
    <row r="19" ht="69.75" customHeight="1" s="18">
      <c r="A19" s="29" t="inlineStr">
        <is>
          <t>O3</t>
        </is>
      </c>
      <c r="B19" s="24" t="inlineStr">
        <is>
          <t>Account status (E2)</t>
        </is>
      </c>
      <c r="C19" s="24" t="inlineStr">
        <is>
          <t>IAMS Termination Date 12/31/2024, but Identity Inactive FALSE and not excluded as "Terminated in HR" by SanIAM - contract extension pending Fieldglass</t>
        </is>
      </c>
      <c r="D19" s="24" t="inlineStr">
        <is>
          <t>E06 tab S13 rows 100-102 vs 192-198; E06 7_Evidence Status #13</t>
        </is>
      </c>
      <c r="E19" s="35" t="inlineStr">
        <is>
          <t>OBSERVATION</t>
        </is>
      </c>
      <c r="F19" s="24" t="inlineStr">
        <is>
          <t>Section 3, row 12; Exhibits A3, A5</t>
        </is>
      </c>
      <c r="G19" s="24" t="inlineStr">
        <is>
          <t>SUS.IAMS.4.2.1.1; 4.2.4.3 if HR confirms</t>
        </is>
      </c>
    </row>
    <row r="20"/>
    <row r="21" ht="15" customHeight="1" s="18">
      <c r="A21" s="36">
        <f>"Sample result: "&amp;IF(COUNTIF(E5:E14,"PASS")=COUNTA(E5:E14),"PASS","FAIL")&amp;" – "&amp;COUNTIF(E5:E14,"PASS")&amp;" of "&amp;COUNTA(E5:E14)&amp;" attribute checks passed; "&amp;COUNTA(A17:A19)&amp;" observations."</f>
        <v/>
      </c>
    </row>
  </sheetData>
  <mergeCells count="4">
    <mergeCell ref="A2:G2"/>
    <mergeCell ref="A16:G16"/>
    <mergeCell ref="A21:G21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E17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17" min="1" max="1"/>
    <col width="40" customWidth="1" style="17" min="2" max="2"/>
    <col width="50" customWidth="1" style="17" min="3" max="3"/>
    <col width="46" customWidth="1" style="17" min="4" max="4"/>
    <col width="30" customWidth="1" style="17" min="5" max="5"/>
  </cols>
  <sheetData>
    <row r="1" ht="25.5" customHeight="1" s="18">
      <c r="A1" s="19" t="inlineStr">
        <is>
          <t>Evidence mapping – sample MIA25142, per attribute</t>
        </is>
      </c>
    </row>
    <row r="2" ht="15" customHeight="1" s="18">
      <c r="A2" s="20" t="inlineStr">
        <is>
          <t>Where to find each value: evidence file, row, and the matching place in the Word document.</t>
        </is>
      </c>
    </row>
    <row r="3"/>
    <row r="4" ht="31.5" customHeight="1" s="18">
      <c r="A4" s="22" t="inlineStr">
        <is>
          <t>Attr.</t>
        </is>
      </c>
      <c r="B4" s="22" t="inlineStr">
        <is>
          <t>Control statement / workpaper column</t>
        </is>
      </c>
      <c r="C4" s="22" t="inlineStr">
        <is>
          <t>Evidence file (ref)</t>
        </is>
      </c>
      <c r="D4" s="22" t="inlineStr">
        <is>
          <t>Location in file</t>
        </is>
      </c>
      <c r="E4" s="22" t="inlineStr">
        <is>
          <t>Word doc reference</t>
        </is>
      </c>
    </row>
    <row r="5" ht="36" customHeight="1" s="18">
      <c r="A5" s="29" t="inlineStr">
        <is>
          <t>A1</t>
        </is>
      </c>
      <c r="B5" s="24" t="inlineStr">
        <is>
          <t>"At least semiannually" - frequency</t>
        </is>
      </c>
      <c r="C5" s="24" t="inlineStr">
        <is>
          <t>E04 BSI.IT.27.C7.02 Q3_2025.xlsx; E05 BSI.IT.27.C7.02 Q1 2026 Cert.xlsx</t>
        </is>
      </c>
      <c r="D5" s="24" t="inlineStr">
        <is>
          <t>Certification Name / launch dates (8/1/2025; 4/9/2026)</t>
        </is>
      </c>
      <c r="E5" s="24" t="inlineStr">
        <is>
          <t>Section 3, row 1</t>
        </is>
      </c>
    </row>
    <row r="6" ht="36" customHeight="1" s="18">
      <c r="A6" s="29" t="inlineStr">
        <is>
          <t>A1</t>
        </is>
      </c>
      <c r="B6" s="24" t="inlineStr">
        <is>
          <t>"InfoSec initiates accounts reviews" - initiation</t>
        </is>
      </c>
      <c r="C6" s="24" t="inlineStr">
        <is>
          <t>E04 BSI.IT.27.C7.02 Q3_2025.xlsx</t>
        </is>
      </c>
      <c r="D6" s="24" t="inlineStr">
        <is>
          <t>Tab 2 – Certification Name "2025 Q3 PAM BSI SOX Manager Certification"</t>
        </is>
      </c>
      <c r="E6" s="24" t="inlineStr">
        <is>
          <t>Section 3, row 2</t>
        </is>
      </c>
    </row>
    <row r="7" ht="36" customHeight="1" s="18">
      <c r="A7" s="29" t="inlineStr">
        <is>
          <t>A2</t>
        </is>
      </c>
      <c r="B7" s="24" t="inlineStr">
        <is>
          <t>"for network device administrators, users and service accounts" - completeness</t>
        </is>
      </c>
      <c r="C7" s="24" t="inlineStr">
        <is>
          <t>E04 BSI.IT.27.C7.02 Q3_2025.xlsx; E03 Definition of Privilege</t>
        </is>
      </c>
      <c r="D7" s="24" t="inlineStr">
        <is>
          <t>Rows 2538-2539 (Entitlement Value); AD extract row 1639; sec. 3.3</t>
        </is>
      </c>
      <c r="E7" s="24" t="inlineStr">
        <is>
          <t>Section 3, row 3</t>
        </is>
      </c>
    </row>
    <row r="8" ht="36" customHeight="1" s="18">
      <c r="A8" s="29" t="inlineStr">
        <is>
          <t>A3</t>
        </is>
      </c>
      <c r="B8" s="24" t="inlineStr">
        <is>
          <t>"performed by managers or account owners" - reviewer</t>
        </is>
      </c>
      <c r="C8" s="24" t="inlineStr">
        <is>
          <t>E04 BSI.IT.27.C7.02 Q3_2025.xlsx</t>
        </is>
      </c>
      <c r="D8" s="24" t="inlineStr">
        <is>
          <t>Rows 2538-2539 – Manager Name, Decision Maker</t>
        </is>
      </c>
      <c r="E8" s="24" t="inlineStr">
        <is>
          <t>Section 3, row 4</t>
        </is>
      </c>
    </row>
    <row r="9" ht="36" customHeight="1" s="18">
      <c r="A9" s="29" t="inlineStr">
        <is>
          <t>A4</t>
        </is>
      </c>
      <c r="B9" s="24" t="inlineStr">
        <is>
          <t>Review decision documented</t>
        </is>
      </c>
      <c r="C9" s="24" t="inlineStr">
        <is>
          <t>E04 BSI.IT.27.C7.02 Q3_2025.xlsx</t>
        </is>
      </c>
      <c r="D9" s="24" t="inlineStr">
        <is>
          <t>Rows 2538-2539 – Decision, Decision Date, SignOff Date</t>
        </is>
      </c>
      <c r="E9" s="24" t="inlineStr">
        <is>
          <t>Section 3, row 5; Exhibit A3</t>
        </is>
      </c>
    </row>
    <row r="10" ht="36" customHeight="1" s="18">
      <c r="A10" s="29" t="inlineStr">
        <is>
          <t>A5</t>
        </is>
      </c>
      <c r="B10" s="24" t="inlineStr">
        <is>
          <t>"Inappropriate access" identified</t>
        </is>
      </c>
      <c r="C10" s="24" t="inlineStr">
        <is>
          <t>E04 BSI.IT.27.C7.02 Q3_2025.xlsx</t>
        </is>
      </c>
      <c r="D10" s="24" t="inlineStr">
        <is>
          <t>Rows 2538-2539 – Decision = Revoked</t>
        </is>
      </c>
      <c r="E10" s="24" t="inlineStr">
        <is>
          <t>Section 3, row 6</t>
        </is>
      </c>
    </row>
    <row r="11" ht="36" customHeight="1" s="18">
      <c r="A11" s="29" t="inlineStr">
        <is>
          <t>A6</t>
        </is>
      </c>
      <c r="B11" s="24" t="inlineStr">
        <is>
          <t>"is revoked by PAM/IAM team" - removal</t>
        </is>
      </c>
      <c r="C11" s="24" t="inlineStr">
        <is>
          <t>E04 BSI.IT.27.C7.02 Q3_2025.xlsx (Netwrix tab)</t>
        </is>
      </c>
      <c r="D11" s="24" t="inlineStr">
        <is>
          <t>Netwrix "member removed" events 09/02/2025 – CISCO Network Administrators, ISEAdmin</t>
        </is>
      </c>
      <c r="E11" s="24" t="inlineStr">
        <is>
          <t>Section 3, row 7; Exhibit A3</t>
        </is>
      </c>
    </row>
    <row r="12" ht="36" customHeight="1" s="18">
      <c r="A12" s="29" t="inlineStr">
        <is>
          <t>A6</t>
        </is>
      </c>
      <c r="B12" s="24" t="inlineStr">
        <is>
          <t>"within SLA" - timeliness</t>
        </is>
      </c>
      <c r="C12" s="24" t="inlineStr">
        <is>
          <t>E04 Netwrix log; E01 IAM Standard</t>
        </is>
      </c>
      <c r="D12" s="24" t="inlineStr">
        <is>
          <t>Removal 09/02/2025 vs deadline 10/10/2025; SUS.IAMS.4.2.5.21 (p.22)</t>
        </is>
      </c>
      <c r="E12" s="24" t="inlineStr">
        <is>
          <t>Section 3, row 8; Exhibit A3</t>
        </is>
      </c>
    </row>
    <row r="13" ht="36" customHeight="1" s="18">
      <c r="A13" s="29" t="inlineStr">
        <is>
          <t>A6</t>
        </is>
      </c>
      <c r="B13" s="24" t="inlineStr">
        <is>
          <t>Access stayed removed - persistence</t>
        </is>
      </c>
      <c r="C13" s="24" t="inlineStr">
        <is>
          <t>E04 BSI.IT.27.C7.02 Q3_2025.xlsx (AD extract); E06 walkthrough</t>
        </is>
      </c>
      <c r="D13" s="24" t="inlineStr">
        <is>
          <t>AD 11/25/2025 row 1639; 4_Item Detail rows 19, 57 (col V); 5_Exceptions row 8</t>
        </is>
      </c>
      <c r="E13" s="24" t="inlineStr">
        <is>
          <t>Section 3, row 9; Exhibit A3</t>
        </is>
      </c>
    </row>
    <row r="14" ht="36" customHeight="1" s="18">
      <c r="A14" s="29" t="inlineStr">
        <is>
          <t>A5</t>
        </is>
      </c>
      <c r="B14" s="24" t="inlineStr">
        <is>
          <t>2026 Q1 review of the re-added access (E3)</t>
        </is>
      </c>
      <c r="C14" s="24" t="inlineStr">
        <is>
          <t>E05 BSI.IT.27.C7.02 Q1 2026 Cert.xlsx; E06 walkthrough</t>
        </is>
      </c>
      <c r="D14" s="24" t="inlineStr">
        <is>
          <t>Rows 3260, 3265; 4_Item Detail rows 107, 130 (col U)</t>
        </is>
      </c>
      <c r="E14" s="24" t="inlineStr">
        <is>
          <t>Section 3, row 10; Exhibit A4</t>
        </is>
      </c>
    </row>
    <row r="15" ht="48" customHeight="1" s="18">
      <c r="A15" s="29" t="inlineStr">
        <is>
          <t>O1</t>
        </is>
      </c>
      <c r="B15" s="24" t="inlineStr">
        <is>
          <t>ServiceNow revocation ticket</t>
        </is>
      </c>
      <c r="C15" s="24" t="inlineStr">
        <is>
          <t>E06 Testing Walkthrough workbook</t>
        </is>
      </c>
      <c r="D15" s="24" t="inlineStr">
        <is>
          <t>Tab 7_Evidence Status #12</t>
        </is>
      </c>
      <c r="E15" s="24" t="inlineStr">
        <is>
          <t>Section 3, row 13</t>
        </is>
      </c>
    </row>
    <row r="16" ht="48" customHeight="1" s="18">
      <c r="A16" s="29" t="inlineStr">
        <is>
          <t>O2</t>
        </is>
      </c>
      <c r="B16" s="24" t="inlineStr">
        <is>
          <t>2026 Q2 status (after the period)</t>
        </is>
      </c>
      <c r="C16" s="24" t="inlineStr">
        <is>
          <t>E07 C7.Sample.xlsx / E06 blue tabs</t>
        </is>
      </c>
      <c r="D16" s="24" t="inlineStr">
        <is>
          <t>SOX Manager rows 98-100; CyberArk Manager rows 431-433; Oct10_2026Users row 1621; SAMPLE screenshots A14, A20</t>
        </is>
      </c>
      <c r="E16" s="24" t="inlineStr">
        <is>
          <t>Section 3, row 11; Exhibits A1, A2, A4</t>
        </is>
      </c>
    </row>
    <row r="17" ht="48" customHeight="1" s="18">
      <c r="A17" s="29" t="inlineStr">
        <is>
          <t>O3</t>
        </is>
      </c>
      <c r="B17" s="24" t="inlineStr">
        <is>
          <t>Account status (E2)</t>
        </is>
      </c>
      <c r="C17" s="24" t="inlineStr">
        <is>
          <t>E06 tab S13 (SanIAM source)</t>
        </is>
      </c>
      <c r="D17" s="24" t="inlineStr">
        <is>
          <t>MIA25142 rows 100-102 (not excluded) vs rows 192-198 (excluded - Terminated in HR)</t>
        </is>
      </c>
      <c r="E17" s="24" t="inlineStr">
        <is>
          <t>Section 3, row 12; Exhibits A3, A5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G13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7" customWidth="1" style="17" min="1" max="1"/>
    <col width="52" customWidth="1" style="17" min="2" max="2"/>
    <col width="22" customWidth="1" style="17" min="3" max="3"/>
    <col width="28" customWidth="1" style="17" min="4" max="4"/>
    <col width="60" customWidth="1" style="17" min="5" max="5"/>
    <col width="18" customWidth="1" style="17" min="6" max="6"/>
    <col width="28" customWidth="1" style="17" min="7" max="7"/>
  </cols>
  <sheetData>
    <row r="1" ht="25.5" customHeight="1" s="18">
      <c r="A1" s="19" t="inlineStr">
        <is>
          <t>Evidence index – BSI.IT.27.C7 (E01 – E09)</t>
        </is>
      </c>
    </row>
    <row r="2" ht="15" customHeight="1" s="18">
      <c r="A2" s="20" t="inlineStr">
        <is>
          <t>Same references as the "Evidence references" table of the Word document.</t>
        </is>
      </c>
    </row>
    <row r="3"/>
    <row r="4" ht="31.5" customHeight="1" s="18">
      <c r="A4" s="22" t="inlineStr">
        <is>
          <t>Ref</t>
        </is>
      </c>
      <c r="B4" s="22" t="inlineStr">
        <is>
          <t>Evidence file</t>
        </is>
      </c>
      <c r="C4" s="22" t="inlineStr">
        <is>
          <t>Type</t>
        </is>
      </c>
      <c r="D4" s="22" t="inlineStr">
        <is>
          <t>Date / owner</t>
        </is>
      </c>
      <c r="E4" s="22" t="inlineStr">
        <is>
          <t>What it shows for MIA25142</t>
        </is>
      </c>
      <c r="F4" s="22" t="inlineStr">
        <is>
          <t>Attributes supported</t>
        </is>
      </c>
      <c r="G4" s="22" t="inlineStr">
        <is>
          <t>Word doc reference</t>
        </is>
      </c>
    </row>
    <row r="5" ht="45" customHeight="1" s="18">
      <c r="A5" s="29" t="inlineStr">
        <is>
          <t>E01</t>
        </is>
      </c>
      <c r="B5" s="24" t="inlineStr">
        <is>
          <t>BSI.IT.27.C7_E01_IAM Standard v11.0 (BSIIT21).pdf</t>
        </is>
      </c>
      <c r="C5" s="24" t="inlineStr">
        <is>
          <t>Policy</t>
        </is>
      </c>
      <c r="D5" s="24" t="inlineStr">
        <is>
          <t>07/28/2026 - CISO (v10.0 in effect during the period)</t>
        </is>
      </c>
      <c r="E5" s="24" t="inlineStr">
        <is>
          <t>SUS.IAMS.4.2.5.6, 4.2.5.10, 4.2.5.21 (30 business days from the close of the review), 4.2.3.4, 4.2.1.1</t>
        </is>
      </c>
      <c r="F5" s="24" t="inlineStr">
        <is>
          <t>A1, A3, A5, A6; O2, O3</t>
        </is>
      </c>
      <c r="G5" s="24" t="inlineStr">
        <is>
          <t>Sections 1-3; Evidence references</t>
        </is>
      </c>
    </row>
    <row r="6" ht="45" customHeight="1" s="18">
      <c r="A6" s="29" t="inlineStr">
        <is>
          <t>E02</t>
        </is>
      </c>
      <c r="B6" s="24" t="inlineStr">
        <is>
          <t>BSI.IT.27.C7_E02_PAM Recertification Procedure (BSI) 04.22.26.pdf</t>
        </is>
      </c>
      <c r="C6" s="24" t="inlineStr">
        <is>
          <t>Procedure</t>
        </is>
      </c>
      <c r="D6" s="24" t="inlineStr">
        <is>
          <t>04/22/2026 - BSI CISO</t>
        </is>
      </c>
      <c r="E6" s="24" t="inlineStr">
        <is>
          <t>Sec. 2, 3, 4.1.1 C1-C4, 4.2, 5, 8 steps 1-10, 8.1 C7</t>
        </is>
      </c>
      <c r="F6" s="24" t="inlineStr">
        <is>
          <t>A1, A3, A4, A6</t>
        </is>
      </c>
      <c r="G6" s="24" t="inlineStr">
        <is>
          <t>Sections 1-3; Evidence references</t>
        </is>
      </c>
    </row>
    <row r="7" ht="45" customHeight="1" s="18">
      <c r="A7" s="29" t="inlineStr">
        <is>
          <t>E03</t>
        </is>
      </c>
      <c r="B7" s="24" t="inlineStr">
        <is>
          <t>BSI.IT.27.C7_E03_PAM Definition of Privilege.pdf</t>
        </is>
      </c>
      <c r="C7" s="24" t="inlineStr">
        <is>
          <t>Policy</t>
        </is>
      </c>
      <c r="D7" s="24" t="inlineStr">
        <is>
          <t>03/11/2025</t>
        </is>
      </c>
      <c r="E7" s="24" t="inlineStr">
        <is>
          <t>Sec. 3.3 - the 4 in-scope privileged network AD groups</t>
        </is>
      </c>
      <c r="F7" s="24" t="inlineStr">
        <is>
          <t>A2</t>
        </is>
      </c>
      <c r="G7" s="24" t="inlineStr">
        <is>
          <t>Section 1; Section 3 row 3</t>
        </is>
      </c>
    </row>
    <row r="8" ht="45" customHeight="1" s="18">
      <c r="A8" s="29" t="inlineStr">
        <is>
          <t>E04</t>
        </is>
      </c>
      <c r="B8" s="24" t="inlineStr">
        <is>
          <t>BSI.IT.27.C7_E04_Q3_2025.xlsx</t>
        </is>
      </c>
      <c r="C8" s="24" t="inlineStr">
        <is>
          <t>SailPoint export, AD extract, Netwrix log</t>
        </is>
      </c>
      <c r="D8" s="24" t="inlineStr">
        <is>
          <t>2025 Q3 - PAM / IAM, InfoSec</t>
        </is>
      </c>
      <c r="E8" s="24" t="inlineStr">
        <is>
          <t>Rows 2538-2539: Revoked 08/28/2025 (Borges, Dayam); Netwrix removal 09/02/2025; AD extract 11/25/2025 row 1639</t>
        </is>
      </c>
      <c r="F8" s="24" t="inlineStr">
        <is>
          <t>A1-A6; O2, O3</t>
        </is>
      </c>
      <c r="G8" s="24" t="inlineStr">
        <is>
          <t>Section 3; Exhibit A3</t>
        </is>
      </c>
    </row>
    <row r="9" ht="45" customHeight="1" s="18">
      <c r="A9" s="29" t="inlineStr">
        <is>
          <t>E05</t>
        </is>
      </c>
      <c r="B9" s="24" t="inlineStr">
        <is>
          <t>BSI.IT.27.C7_E05_Q1 2026 Cert.xlsx</t>
        </is>
      </c>
      <c r="C9" s="24" t="inlineStr">
        <is>
          <t>SailPoint export, AD extract</t>
        </is>
      </c>
      <c r="D9" s="24" t="inlineStr">
        <is>
          <t>2026 Q1 - PAM / IAM</t>
        </is>
      </c>
      <c r="E9" s="24" t="inlineStr">
        <is>
          <t>Rows 3260 / 3265: Approved 04/30/2026; AD extract 05/15/2026 row 1636</t>
        </is>
      </c>
      <c r="F9" s="24" t="inlineStr">
        <is>
          <t>A1; O2, O3</t>
        </is>
      </c>
      <c r="G9" s="24" t="inlineStr">
        <is>
          <t>Section 3; Exhibit A4</t>
        </is>
      </c>
    </row>
    <row r="10" ht="45" customHeight="1" s="18">
      <c r="A10" s="29" t="inlineStr">
        <is>
          <t>E06</t>
        </is>
      </c>
      <c r="B10" s="24" t="inlineStr">
        <is>
          <t>BSI.IT.27.C7_E06_Testing Walkthrough - Combined with 2026 Q2 Sample.xlsx</t>
        </is>
      </c>
      <c r="C10" s="24" t="inlineStr">
        <is>
          <t>Testing workpaper</t>
        </is>
      </c>
      <c r="D10" s="24" t="inlineStr">
        <is>
          <t>10/2026 - IT RCSA</t>
        </is>
      </c>
      <c r="E10" s="24" t="inlineStr">
        <is>
          <t>3_Attribute Matrix rows 5-6; 4_Item Detail rows 19, 57, 107, 130; 7_Evidence Status</t>
        </is>
      </c>
      <c r="F10" s="24" t="inlineStr">
        <is>
          <t>A1-A6; O1-O3</t>
        </is>
      </c>
      <c r="G10" s="24" t="inlineStr">
        <is>
          <t>Evidence references; closing note</t>
        </is>
      </c>
    </row>
    <row r="11" ht="45" customHeight="1" s="18">
      <c r="A11" s="29" t="inlineStr">
        <is>
          <t>E07</t>
        </is>
      </c>
      <c r="B11" s="24" t="inlineStr">
        <is>
          <t>BSI.IT.27.C7_E07_C7.Sample.xlsx</t>
        </is>
      </c>
      <c r="C11" s="24" t="inlineStr">
        <is>
          <t>SailPoint exports, AD user export, screenshots</t>
        </is>
      </c>
      <c r="D11" s="24" t="inlineStr">
        <is>
          <t>10/13/2026 - control owner</t>
        </is>
      </c>
      <c r="E11" s="24" t="inlineStr">
        <is>
          <t>SOX Manager rows 98-100; CyberArk Manager rows 431-433; CyberArk Owner 12 rows; Oct10_2026Users row 1621; SAMPLE tab screenshots</t>
        </is>
      </c>
      <c r="F11" s="24" t="inlineStr">
        <is>
          <t>O2, O3</t>
        </is>
      </c>
      <c r="G11" s="24" t="inlineStr">
        <is>
          <t>Exhibits A1, A2, A4, A5</t>
        </is>
      </c>
    </row>
    <row r="12" ht="45" customHeight="1" s="18">
      <c r="A12" s="29" t="inlineStr">
        <is>
          <t>E08</t>
        </is>
      </c>
      <c r="B12" s="24" t="inlineStr">
        <is>
          <t>BSI.IT.27.C7_E08_Sample step taken.docx</t>
        </is>
      </c>
      <c r="C12" s="24" t="inlineStr">
        <is>
          <t>Request</t>
        </is>
      </c>
      <c r="D12" s="24" t="inlineStr">
        <is>
          <t>IT RCSA - Edward Morfa</t>
        </is>
      </c>
      <c r="E12" s="24" t="inlineStr">
        <is>
          <t>Request to the control owner for A6 evidence (10 accounts, including MIA25142)</t>
        </is>
      </c>
      <c r="F12" s="24" t="inlineStr">
        <is>
          <t>A6</t>
        </is>
      </c>
      <c r="G12" s="24" t="inlineStr">
        <is>
          <t>Evidence references</t>
        </is>
      </c>
    </row>
    <row r="13" ht="45" customHeight="1" s="18">
      <c r="A13" s="29" t="inlineStr">
        <is>
          <t>E09</t>
        </is>
      </c>
      <c r="B13" s="24" t="inlineStr">
        <is>
          <t>BSI.IT.27.C7_E09_Sample of 1 MIA25142 Workpaper.xlsx (this workbook)</t>
        </is>
      </c>
      <c r="C13" s="24" t="inlineStr">
        <is>
          <t>Testing workpaper</t>
        </is>
      </c>
      <c r="D13" s="24" t="inlineStr">
        <is>
          <t>10/2026 - IT RCSA</t>
        </is>
      </c>
      <c r="E13" s="24" t="inlineStr">
        <is>
          <t>Sample result, attribute testing, evidence map and index for MIA25142</t>
        </is>
      </c>
      <c r="F13" s="24" t="inlineStr">
        <is>
          <t>A1-A6; O1-O3</t>
        </is>
      </c>
      <c r="G13" s="24" t="inlineStr">
        <is>
          <t>Summary box; Section 3 (evidence column, conclusion); Evidence references E09; Exhibits A1-A5</t>
        </is>
      </c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18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17" min="1" max="1"/>
    <col width="70" customWidth="1" style="17" min="2" max="2"/>
    <col width="40" customWidth="1" style="17" min="3" max="3"/>
  </cols>
  <sheetData>
    <row r="1" ht="25.5" customHeight="1" s="18">
      <c r="A1" s="19" t="inlineStr">
        <is>
          <t>Cross-reference: BSI.IT.27.C7_Design_WT_Sample_of_1_MIA25142.docx (folder BSI.IT.27.C7) → this workbook</t>
        </is>
      </c>
    </row>
    <row r="2"/>
    <row r="3" ht="31.5" customHeight="1" s="18">
      <c r="A3" s="22" t="inlineStr">
        <is>
          <t>Word document section / exhibit</t>
        </is>
      </c>
      <c r="B3" s="22" t="inlineStr">
        <is>
          <t>Content</t>
        </is>
      </c>
      <c r="C3" s="22" t="inlineStr">
        <is>
          <t>Workbook tab / range</t>
        </is>
      </c>
    </row>
    <row r="4" ht="21.75" customHeight="1" s="18">
      <c r="A4" s="29" t="inlineStr">
        <is>
          <t>Summary box</t>
        </is>
      </c>
      <c r="B4" s="24" t="inlineStr">
        <is>
          <t>Design rating, sample result, observations, control, period, sample</t>
        </is>
      </c>
      <c r="C4" s="24" t="inlineStr">
        <is>
          <t>WP Summary!A4:B11</t>
        </is>
      </c>
    </row>
    <row r="5" ht="21.75" customHeight="1" s="18">
      <c r="A5" s="29" t="inlineStr">
        <is>
          <t>Control description</t>
        </is>
      </c>
      <c r="B5" s="24" t="inlineStr">
        <is>
          <t>Control statement</t>
        </is>
      </c>
      <c r="C5" s="24" t="inlineStr">
        <is>
          <t>WP Summary!B5</t>
        </is>
      </c>
    </row>
    <row r="6" ht="21.75" customHeight="1" s="18">
      <c r="A6" s="29" t="inlineStr">
        <is>
          <t>1. Design Effectiveness Summary</t>
        </is>
      </c>
      <c r="B6" s="24" t="inlineStr">
        <is>
          <t>Design rating and 3 design observations</t>
        </is>
      </c>
      <c r="C6" s="24" t="inlineStr">
        <is>
          <t>WP Summary!B8</t>
        </is>
      </c>
    </row>
    <row r="7" ht="21.75" customHeight="1" s="18">
      <c r="A7" s="29" t="inlineStr">
        <is>
          <t>2. WT Summary</t>
        </is>
      </c>
      <c r="B7" s="24" t="inlineStr">
        <is>
          <t>Process walkthrough; walkthrough meeting placeholder</t>
        </is>
      </c>
      <c r="C7" s="24" t="inlineStr">
        <is>
          <t>WP Summary!B11</t>
        </is>
      </c>
    </row>
    <row r="8" ht="21.75" customHeight="1" s="18">
      <c r="A8" s="29" t="inlineStr">
        <is>
          <t>3. Sample of One – rows 1-8</t>
        </is>
      </c>
      <c r="B8" s="24" t="inlineStr">
        <is>
          <t>Attribute testing A1-A6</t>
        </is>
      </c>
      <c r="C8" s="24" t="inlineStr">
        <is>
          <t>Sample Attribute Testing!A5:G12</t>
        </is>
      </c>
    </row>
    <row r="9" ht="21.75" customHeight="1" s="18">
      <c r="A9" s="29" t="inlineStr">
        <is>
          <t>3. Sample of One – rows 9-10</t>
        </is>
      </c>
      <c r="B9" s="24" t="inlineStr">
        <is>
          <t>A6 persistence and A5 (E3) – FAIL</t>
        </is>
      </c>
      <c r="C9" s="24" t="inlineStr">
        <is>
          <t>Sample Attribute Testing!A13:G14</t>
        </is>
      </c>
    </row>
    <row r="10" ht="21.75" customHeight="1" s="18">
      <c r="A10" s="29" t="inlineStr">
        <is>
          <t>3. Sample of One – rows 11-13</t>
        </is>
      </c>
      <c r="B10" s="24" t="inlineStr">
        <is>
          <t>Observations</t>
        </is>
      </c>
      <c r="C10" s="24" t="inlineStr">
        <is>
          <t>Sample Attribute Testing!A17:G19</t>
        </is>
      </c>
    </row>
    <row r="11" ht="21.75" customHeight="1" s="18">
      <c r="A11" s="29" t="inlineStr">
        <is>
          <t>4. Evidence Locator</t>
        </is>
      </c>
      <c r="B11" s="24" t="inlineStr">
        <is>
          <t>Every place MIA25142 appears</t>
        </is>
      </c>
      <c r="C11" s="24" t="inlineStr">
        <is>
          <t>Evidence Map; Evidence Index</t>
        </is>
      </c>
    </row>
    <row r="12" ht="21.75" customHeight="1" s="18">
      <c r="A12" s="29" t="inlineStr">
        <is>
          <t>3. Conclusion</t>
        </is>
      </c>
      <c r="B12" s="24" t="inlineStr">
        <is>
          <t>PASS – all attributes met</t>
        </is>
      </c>
      <c r="C12" s="24" t="inlineStr">
        <is>
          <t>WP Summary!B9; Sample Attribute Testing (result line)</t>
        </is>
      </c>
    </row>
    <row r="13" ht="21.75" customHeight="1" s="18">
      <c r="A13" s="29" t="inlineStr">
        <is>
          <t>Evidence references</t>
        </is>
      </c>
      <c r="B13" s="24" t="inlineStr">
        <is>
          <t>E01-E09</t>
        </is>
      </c>
      <c r="C13" s="24" t="inlineStr">
        <is>
          <t>Evidence Index!A5:G13</t>
        </is>
      </c>
    </row>
    <row r="14" ht="21.75" customHeight="1" s="18">
      <c r="A14" s="29" t="inlineStr">
        <is>
          <t>Exhibit A1</t>
        </is>
      </c>
      <c r="B14" s="24" t="inlineStr">
        <is>
          <t>2026 Q2 SOX Manager certification screenshot (rows 98-100)</t>
        </is>
      </c>
      <c r="C14" s="24" t="inlineStr">
        <is>
          <t>Evidence Map (O2); Evidence Index E07</t>
        </is>
      </c>
    </row>
    <row r="15" ht="21.75" customHeight="1" s="18">
      <c r="A15" s="29" t="inlineStr">
        <is>
          <t>Exhibit A2</t>
        </is>
      </c>
      <c r="B15" s="24" t="inlineStr">
        <is>
          <t>2026 Q2 CyberArk Manager certification screenshot (rows 431-433)</t>
        </is>
      </c>
      <c r="C15" s="24" t="inlineStr">
        <is>
          <t>Evidence Map (O2); Evidence Index E07</t>
        </is>
      </c>
    </row>
    <row r="16" ht="21.75" customHeight="1" s="18">
      <c r="A16" s="29" t="inlineStr">
        <is>
          <t>Exhibit A3</t>
        </is>
      </c>
      <c r="B16" s="24" t="inlineStr">
        <is>
          <t>2025 Q3 revocation and Netwrix removal</t>
        </is>
      </c>
      <c r="C16" s="24" t="inlineStr">
        <is>
          <t>Evidence Map (A4-A6); Evidence Index E04</t>
        </is>
      </c>
    </row>
    <row r="17" ht="21.75" customHeight="1" s="18">
      <c r="A17" s="29" t="inlineStr">
        <is>
          <t>Exhibit A4</t>
        </is>
      </c>
      <c r="B17" s="24" t="inlineStr">
        <is>
          <t>Account and access status after the revocation</t>
        </is>
      </c>
      <c r="C17" s="24" t="inlineStr">
        <is>
          <t>Evidence Map (O2, O3); Evidence Index E05, E07</t>
        </is>
      </c>
    </row>
    <row r="18" ht="21.75" customHeight="1" s="18">
      <c r="A18" s="29" t="inlineStr">
        <is>
          <t>Exhibit A5</t>
        </is>
      </c>
      <c r="B18" s="24" t="inlineStr">
        <is>
          <t>AD user export command screenshot</t>
        </is>
      </c>
      <c r="C18" s="24" t="inlineStr">
        <is>
          <t>Evidence Map (O3); Evidence Index E07</t>
        </is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2026-10-15T16:26:11Z</dcterms:created>
  <dcterms:modified xmlns:dcterms="http://purl.org/dc/terms/" xmlns:xsi="http://www.w3.org/2001/XMLSchema-instance" xsi:type="dcterms:W3CDTF">2026-10-29T22:11:26Z</dcterms:modified>
  <cp:revision>0</cp:revision>
</cp:coreProperties>
</file>