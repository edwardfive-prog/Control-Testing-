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_Summary" sheetId="1" state="visible" r:id="rId3"/>
    <sheet name="1_Conclusions" sheetId="2" state="visible" r:id="rId4"/>
    <sheet name="2_SLA_Reperformance" sheetId="3" state="visible" r:id="rId5"/>
    <sheet name="3_Corrections_to_Draft" sheetId="4" state="visible" r:id="rId6"/>
    <sheet name="4_Fieldglass_Inspection" sheetId="5" state="visible" r:id="rId7"/>
    <sheet name="5_Observations_OpenItems" sheetId="6" state="visible" r:id="rId8"/>
    <sheet name="6_Policy_Criteria" sheetId="7" state="visible" r:id="rId9"/>
    <sheet name="7_Evidence_Locator" sheetId="8" state="visible" r:id="rId10"/>
    <sheet name="Holiday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<sst xmlns="http://schemas.openxmlformats.org/spreadsheetml/2006/main" count="623" uniqueCount="496">
  <si>
    <t xml:space="preserve">BSI.IT.27.C7 Network Device Admin Account Review - re-performance of the 10-account conclusions</t>
  </si>
  <si>
    <t xml:space="preserve">Control: At least semiannually, InfoSec initiates account reviews for network device administrators, users and service accounts, performed by managers or account owners. Inappropriate access is revoked by the PAM/IAM team within SLA.</t>
  </si>
  <si>
    <t xml:space="preserve">Period 07/01/2025 - 06/30/2026. Re-performed 11/01/2026 from the source data in the testing package (E04, E05, E07, E06.12), the policies (E01, E01a, E02, E03) and the Fieldglass e-mail of 10/29/2026 (E10). Every fact below was re-read from the source file, not copied from the prior draft.</t>
  </si>
  <si>
    <t xml:space="preserve">RESULT</t>
  </si>
  <si>
    <t xml:space="preserve">Result count (formula):</t>
  </si>
  <si>
    <t xml:space="preserve">BOTTOM LINE</t>
  </si>
  <si>
    <t xml:space="preserve">1. The prior draft's outcome holds: 3 PASS (MIA25104, MIA25105, MIA25106) and 7 FAIL (MIA25142, MIA25172, MIA25175, X453396, MIA25103, MIA25249, MIA25250). No account changes result.</t>
  </si>
  <si>
    <t xml:space="preserve">2. Several facts and citations in the draft are wrong or incomplete and must be corrected before the workpaper goes to the reviewer. See 3_Corrections_to_Draft (12 items). The most important ones follow.</t>
  </si>
  <si>
    <t xml:space="preserve">   a. The 'member added' event that the draft says is missing is in the evidence. E04 tab 3_ISEAdmin (Netwrix capture at row ~3108) shows that at 09/10/2025 2:33:04 AM, Who = 'system', ISEAdmin members were ADDED: Perez Peralta (X453396), Hernandez Ruiz (MIA25172), Nieves Nieves (MIA25142) and Hernandez Acevedo (MIA25175). This is 8 business days after the revocation decision, inside the 30-day SLA window. It strengthens E3 (re-granted with no request) and gives a root-cause lead: an automated job around 2:30 AM, which also added X842395 on 08/30/2025 at 2:32:54 AM.</t>
  </si>
  <si>
    <t xml:space="preserve">   b. The April 2026 disablement of MIA25249, MIA25250 and MIA25251 is explained by the evidence. The 05/15/2026 AD extract shows the accounts in OU=Inactive AD Accounts with whenChanged 04/02-04/03/2026 and 113-147 days since the last logon. MIA25103 changed in the same second (04/02/2026 17:52:08). This is the 90-day inactivity sweep (SUS.IAMS.4.2.3.1), not a contract gap. The reviewer therefore approved privileged access that had been unused for more than 90 days.</t>
  </si>
  <si>
    <t xml:space="preserve">   c. Policy versions. IAM Standard v10.0 was approved 09/29/2025, after the 2025 Q3 decisions of 08/28/2025, so v9.0 governed Sample 1. PAM Procedure v2.0 was approved 04/22/2026; v1.0 (04/22/2025) governed Sample 1 and the start of 2026 Q1. The draft says v10.0 / v2.0 were in force for both samples. Neither v9.0 nor v1.0 is in the package.</t>
  </si>
  <si>
    <t xml:space="preserve">   d. The reviewer was not exercising judgement. Dayam Borges, who is also the BSI CISO, control owner and exception approver, decided every person-account item in single bursts: 08/28/2025 10:25-10:40 AM (130 rows), 04/30/2026 1:47 PM (all 69 memberships), 07/27/2026 12:45 PM and 08/17/2026 9:22-9:23 AM. This is the likely root cause of E1 and E3.</t>
  </si>
  <si>
    <t xml:space="preserve">3. The Fieldglass e-mail is authentic and consistent with SanIAM: 7 of 7 buyer references match. It shows open worker records covering 08/28/2025 and 04/30/2026. It is NOT the evidence that was requested: it has no report date or parameters, no extension history, no status as of the dates, no April-2026 statement, and 4 of 7 captures show 'More Results: Next &gt;&gt;', so the results are truncated. It also contains an unexplained bulk event: all 7 job-seeker records were submitted on 09/29/2026 at 12:04-12:05 PM, with new Rev.18 work orders starting 09/29/2026. Fieldglass is sufficient to clear E2 (IAMS termination date) as an observation. It cannot clear E1 or E3.</t>
  </si>
  <si>
    <t xml:space="preserve">4. Control-level conclusion (unchanged): Design Satisfactory with observations; Performance Needs Improvement. Both samples fail (A5 appropriateness; A6 persistence). Reviewer to consider Weak, because the same exceptions recur in all 4 consecutive reviews (2025 Q3, 2026 Q1, 2026 Q2 SOX, 2026 Q2 CyberArk) and the frequency gap is a possible A1 exception (see 5_Observations OBS-R09).</t>
  </si>
  <si>
    <t xml:space="preserve">TABS: 1_Conclusions (10 accounts) | 2_SLA_Reperformance (formulas) | 3_Corrections_to_Draft | 4_Fieldglass_Inspection | 5_Observations_OpenItems | 6_Policy_Criteria | 7_Evidence_Locator | Holidays</t>
  </si>
  <si>
    <t xml:space="preserve">1_Conclusions - re-performed result for each of the 10 sampled accounts</t>
  </si>
  <si>
    <t xml:space="preserve">Sources: E04 (2025 Q3 SanIAM export + AD extract 11/25/2025 incl. MemberOf + Netwrix captures), E05 (2026 Q1 export + AD extract 05/15/2026 incl. OU, whenChanged, Description), E07 (2026 Q2 exports + AD 10/10/2026), E10 (Fieldglass). Decision maker for every row = Borges, Dayam (line manager / host; also BSI CISO per E02 p.13). Account result = FAIL if either in-period sample fails. 2026 Q2 is after the period and supporting only.</t>
  </si>
  <si>
    <t xml:space="preserve">#</t>
  </si>
  <si>
    <t xml:space="preserve">Account</t>
  </si>
  <si>
    <t xml:space="preserve">Name / SanIAM identity</t>
  </si>
  <si>
    <t xml:space="preserve">In-scope groups held</t>
  </si>
  <si>
    <t xml:space="preserve">2025 Q3 (Sample 1) - decision &amp; re-performed facts</t>
  </si>
  <si>
    <t xml:space="preserve">Sample 1 result</t>
  </si>
  <si>
    <t xml:space="preserve">2026 Q1 (Sample 2) - decision &amp; re-performed facts</t>
  </si>
  <si>
    <t xml:space="preserve">Sample 2 result</t>
  </si>
  <si>
    <t xml:space="preserve">AD status history (source extracts)</t>
  </si>
  <si>
    <t xml:space="preserve">2026 Q2 (subsequent, supporting only)</t>
  </si>
  <si>
    <t xml:space="preserve">Fieldglass (E10)</t>
  </si>
  <si>
    <t xml:space="preserve">Exception codes</t>
  </si>
  <si>
    <t xml:space="preserve">Process-owner explanation &amp; assessment</t>
  </si>
  <si>
    <t xml:space="preserve">FINAL CONCLUSION</t>
  </si>
  <si>
    <t xml:space="preserve">Policy basis (requirement IDs)</t>
  </si>
  <si>
    <t xml:space="preserve">Change vs. prior draft</t>
  </si>
  <si>
    <t xml:space="preserve">What would change the conclusion</t>
  </si>
  <si>
    <t xml:space="preserve">MIA25142</t>
  </si>
  <si>
    <t xml:space="preserve">Miguel Nieves Nieves / 100546241 (IAMS termination 12/31/2024)</t>
  </si>
  <si>
    <t xml:space="preserve">CISCO Network Administrators, ISEAdmin (+ CyberArk_Alero_Users, out of C7 scope)</t>
  </si>
  <si>
    <t xml:space="preserve">REVOKED 08/28/2025 10:39 AM by Borges, Dayam (E04 tab 2 rows 2537-2539; WI 1100381). Netwrix: removed from Cisco Network Admins and ISEAdmin 09/02/2025 12:15:24 PM, 2 business days, within SLA (deadline 10/10/2025). Netwrix: RE-ADDED to ISEAdmin 09/10/2025 2:33:04 AM by 'system' (E04 tab 3_ISEAdmin capture ~row 3108), 6 calendar days later and inside the SLA window. On 11/25/2025, MemberOf shows Cisco Network Admins + ISEAdmin + CyberArk_Alero_Users again; no 'added' event in the package for Cisco Network Admins.</t>
  </si>
  <si>
    <t xml:space="preserve">FAIL</t>
  </si>
  <si>
    <t xml:space="preserve">APPROVED 04/30/2026 1:47 PM (bulk) by Borges. The access re-granted after the 2025 Q3 revocation was approved with no access request, no ServiceNow ticket and no comment (WorkItemID blank).</t>
  </si>
  <si>
    <t xml:space="preserve">11/25/2025: enabled; lastLogonDate 11/19/2025; acct expires 01/01/2026. 05/15/2026: enabled, CN=Users; lastLogon 05/14/2026; expires 06/01/2026; desc 'Temp - Consultant - Cyber Security - Host Dayam Borges'. 10/10/2026: enabled, employeeNumber 100546241.</t>
  </si>
  <si>
    <t xml:space="preserve">Approved again: SOX Mgr 07/27/2026 12:45 PM (E07 rows 98-100); CyberArk Mgr 08/17/2026 9:23 AM (rows 431-433).</t>
  </si>
  <si>
    <t xml:space="preserve">Not requested. IAMS termination 12/31/2024 remains unsupported. Add to the Fieldglass follow-up.</t>
  </si>
  <si>
    <t xml:space="preserve">A6 (removal not sustained; ISEAdmin re-added inside the SLA window); A5-E3 (re-grant approved without request)</t>
  </si>
  <si>
    <t xml:space="preserve">Owner: SanIAM shows no change/mover/leaver events; the access is approved in 2026 Q2. ASSESSMENT: not accepted. The response confirms the access is still held and does not evidence an approved request for the re-grant. The 09/10/2025 Netwrix event shows the re-add was made by 'system', not through a request.</t>
  </si>
  <si>
    <t xml:space="preserve">SUS.IAMS.4.2.5.7 (manager denial = access denied); 4.2.5.10 (confirm all access marked for removal was removed); 4.2.5.21 (revoke within 30 business days of review close); 4.2.3.4 (privileged access only via an approved request, manager validation and second-level approval); PAM Proc. 4.1.1 C4, 4.2, step 10.</t>
  </si>
  <si>
    <t xml:space="preserve">Same conclusion. Corrected: a Netwrix 'member added' event DOES exist for ISEAdmin (09/10/2025, actor 'system'). The draft said none was provided.</t>
  </si>
  <si>
    <t xml:space="preserve">Approved ServiceNow request + manager + second-level approval dated before 09/10/2025 (ISEAdmin) and before 11/25/2025 (Cisco Network Admins). Even then, A6 persistence remains an observation.</t>
  </si>
  <si>
    <t xml:space="preserve">MIA25172</t>
  </si>
  <si>
    <t xml:space="preserve">Juan Hernandez Ruiz / SanIAM Identity = 'MIA25172' (not correlated in 2026 Q1/Q2); AD employeeNumber 100546248 (10/10/2026). IAMS termination 12/31/2026 in 2025 Q3; blank afterwards</t>
  </si>
  <si>
    <t xml:space="preserve">CISCO Network Administrators; ISEAdmin (new add 09/10/2025)</t>
  </si>
  <si>
    <t xml:space="preserve">REVOKED 08/28/2025 10:39 AM (Cisco Network Admins + CyberArk_Alero_Users; E04 rows 2540-2541). Netwrix: removed from Cisco Network Admins 09/02/2025 12:25:24 PM, 2 business days, within SLA. The account was then in OU='Inactive AD Accounts'. Netwrix 09/10/2025 2:33:04 AM: ADDED to ISEAdmin by 'system' from the Inactive AD Accounts OU. This is a NEW privileged network group, granted 13 days after the manager denied privileged network access. On 11/25/2025: back in Cisco Network Admins; enabled; lastLogonDate 11/24/2025 (reactivation unexplained).</t>
  </si>
  <si>
    <t xml:space="preserve">APPROVED 04/30/2026 (bulk) for Cisco Network Admins + ISEAdmin, with no request for the re-grant or the ISEAdmin add. Reviewed in the MANAGER certification although SanIAM shows the account as uncorrelated (4.2.5.6 assigns uncorrelated accounts to the Application Owner).</t>
  </si>
  <si>
    <t xml:space="preserve">11/25/2025: enabled; expires 01/01/2027. 05/15/2026: enabled, CN=Users, lastLogon 05/13/2026. 10/10/2026: enabled.</t>
  </si>
  <si>
    <t xml:space="preserve">Approved: SOX Mgr 07/27/2026 (rows 140-142); CyberArk Mgr 08/17/2026 (rows 467-468). SOX export shows Identity='MIA25172', Account Name=100546248 (fields inverted).</t>
  </si>
  <si>
    <t xml:space="preserve">Not requested. Not on the E2 list (termination date was 12/31/2026, not 12/31/2024).</t>
  </si>
  <si>
    <t xml:space="preserve">A6; A5-E3 (re-grant + new ISEAdmin add without request); identity correlation</t>
  </si>
  <si>
    <t xml:space="preserve">Owner: no change/mover/leaver events; approved in 2026 Q2. No explanation for the ISEAdmin add, the move out of the Inactive OU, or the uncorrelated identity. ASSESSMENT: not accepted.</t>
  </si>
  <si>
    <t xml:space="preserve">4.2.5.7; 4.2.5.10; 4.2.5.21; 4.2.3.4; 4.2.5.6 (Application Owner attests uncorrelated accounts); 4.2.1.1 (accounts synchronized with HR); PAM Proc. 4.1.1 C4, 4.2.</t>
  </si>
  <si>
    <t xml:space="preserve">Same conclusion. Corrected: the ISEAdmin add IS evidenced (Netwrix 09/10/2025, 'system'). The IAMS termination date was 12/31/2026, not 12/31/2024. 'Not linked to HR' should read 'SanIAM correlation break': AD carries employeeNumber 100546248.</t>
  </si>
  <si>
    <t xml:space="preserve">Approved requests for the re-grant and the ISEAdmin add; evidence of who re-enabled the account or moved it out of the Inactive OU; SanIAM correlation fix.</t>
  </si>
  <si>
    <t xml:space="preserve">MIA25175</t>
  </si>
  <si>
    <t xml:space="preserve">Carlos Hernandez Acevedo / SanIAM Identity = 'MIA25175' (not correlated 2026 Q1/Q2); AD employeeNumber 100546251. IAMS termination 12/31/2026 in 2025 Q3</t>
  </si>
  <si>
    <t xml:space="preserve">REVOKED 08/28/2025 (Cisco Network Admins + CyberArk_Alero_Users; E04 rows 2546-2547). Netwrix: removed 09/08/2025 10:18:22 AM, 6 business days, within SLA. Netwrix 09/10/2025 2:33:04 AM: ADDED to ISEAdmin by 'system', 2 days after removal. 11/25/2025: back in Cisco Network Admins; lastLogonDate 11/20/2025.</t>
  </si>
  <si>
    <t xml:space="preserve">APPROVED 04/30/2026 (bulk) for Cisco Network Admins + ISEAdmin, with no request. Uncorrelated account reviewed in the Manager certification.</t>
  </si>
  <si>
    <t xml:space="preserve">11/25/2025: enabled; expires 01/01/2027. 05/15/2026: enabled; lastLogon 05/04/2026. 10/10/2026: enabled.</t>
  </si>
  <si>
    <t xml:space="preserve">Approved: SOX Mgr 07/27/2026 (rows 143-145); CyberArk Mgr 08/17/2026 (rows 469-471).</t>
  </si>
  <si>
    <t xml:space="preserve">Not requested. Not on the E2 list.</t>
  </si>
  <si>
    <t xml:space="preserve">A6; A5-E3; identity correlation</t>
  </si>
  <si>
    <t xml:space="preserve">Same as MIA25172. ASSESSMENT: not accepted.</t>
  </si>
  <si>
    <t xml:space="preserve">4.2.5.7; 4.2.5.10; 4.2.5.21; 4.2.3.4; 4.2.5.6; 4.2.1.1; PAM Proc. 4.1.1 C4, 4.2.</t>
  </si>
  <si>
    <t xml:space="preserve">Same conclusion. Corrected: the ISEAdmin add is evidenced; the termination date was 12/31/2026; correlation wording.</t>
  </si>
  <si>
    <t xml:space="preserve">Approved requests for the re-grant and the ISEAdmin add; SanIAM correlation fix.</t>
  </si>
  <si>
    <t xml:space="preserve">X453396</t>
  </si>
  <si>
    <t xml:space="preserve">Juan Fernando Perez Peralta / 100611758 (correlated; no IAMS termination date)</t>
  </si>
  <si>
    <t xml:space="preserve">CISCO Network Administrators, ISEAdmin (Network_support revoked, out of scope)</t>
  </si>
  <si>
    <t xml:space="preserve">REVOKED 08/28/2025 10:33 AM (Network_support, CyberArk_Alero_Users, Cisco Network Admins, ISEAdmin; E04 rows 2486-2489). Netwrix: removed from Cisco Network Admins and ISEAdmin 09/08/2025 10:30:21 AM, 6 business days, within SLA. Netwrix 09/10/2025 2:33:04 AM: RE-ADDED to ISEAdmin by 'system', about 40 HOURS after removal. 11/25/2025: Cisco Network Admins + ISEAdmin + CyberArk_Alero_Users. Network_support NOT present, so that removal was sustained.</t>
  </si>
  <si>
    <t xml:space="preserve">APPROVED 04/30/2026 (bulk). The re-granted access was approved with no request.</t>
  </si>
  <si>
    <t xml:space="preserve">11/25/2025: enabled; lastLogonDate 11/24/2025; pwdLastSet 11/07/2025 09:00:34; expires 01/01/2026. 05/15/2026: enabled; lastLogon 05/14/2026; expires 06/01/2026; desc 'Temp - Consultant'. 10/10/2026: enabled.</t>
  </si>
  <si>
    <t xml:space="preserve">Approved: SOX Mgr 07/27/2026 (rows 110-112); CyberArk Mgr 08/17/2026 (rows 443-445).</t>
  </si>
  <si>
    <t xml:space="preserve">Not requested and not needed for E2 (no termination date). The testing procedures' 'scope gap' listing X453396 on the E2 list is not supported by the exports.</t>
  </si>
  <si>
    <t xml:space="preserve">A6; A5-E3</t>
  </si>
  <si>
    <t xml:space="preserve">Owner: approved in 2026 Q2; no re-grant evidence. ASSESSMENT: not accepted.</t>
  </si>
  <si>
    <t xml:space="preserve">4.2.5.7; 4.2.5.10; 4.2.5.21; 4.2.3.4; PAM Proc. 4.1.1 C4, 4.2.</t>
  </si>
  <si>
    <t xml:space="preserve">Same conclusion. Corrected: the ISEAdmin re-add is evidenced (40 hours after removal); the Network_support revocation was sustained; X453396 is not an E2 account.</t>
  </si>
  <si>
    <t xml:space="preserve">Approved re-grant request before 09/10/2025 and 11/25/2025.</t>
  </si>
  <si>
    <t xml:space="preserve">MIA25103</t>
  </si>
  <si>
    <t xml:space="preserve">Ivan Ramirez Gonzalez / 100531048 (IAMS termination 12/31/2024)</t>
  </si>
  <si>
    <t xml:space="preserve">CISCO Network Administrators, ISEAdmin</t>
  </si>
  <si>
    <t xml:space="preserve">APPROVED 08/28/2025 10:39 AM by Borges (E04 rows 2523-2525). On 11/25/2025 the account is DISABLED with lastLogonDate 10/15/2023, i.e. 683 days without logon at the decision date. Note: the extract post-dates the decision by 3 months. The exception does not rely on the enabled flag; 22 months of non-use alone shows the access was not needed.</t>
  </si>
  <si>
    <t xml:space="preserve">APPROVED 04/30/2026 (bulk). The account was DISABLED and in OU=Inactive AD Accounts (whenChanged 04/02/2026 17:52:08); lastLogon 10/10/2023, 928 days without logon.</t>
  </si>
  <si>
    <t xml:space="preserve">11/25/2025 disabled; 05/15/2026 disabled, Inactive OU; 10/10/2026 disabled. Privileged group memberships retained throughout (MemberOf).</t>
  </si>
  <si>
    <t xml:space="preserve">Approved: SOX Mgr 07/27/2026 (rows 86-88); CyberArk Mgr 08/17/2026 (rows 419-421).</t>
  </si>
  <si>
    <t xml:space="preserve">Worker SANWK00016501 Open 2024-01-01 to 2027-02-28; buyer ref 100531048 = SanIAM identity. Supports 'active contractor'. Clears E2 only.</t>
  </si>
  <si>
    <t xml:space="preserve">A5-E1 (disabled/unused account approved, both samples)</t>
  </si>
  <si>
    <t xml:space="preserve">Owner: (1) SLA applies only to revoked access - AGREED, A6 N/A. (2) Consultants were extended - SUPPORTED by Fieldglass. (3) No mover/leaver events - does not address non-use. ASSESSMENT: (1)-(2) accepted; they do not address E1.</t>
  </si>
  <si>
    <t xml:space="preserve">4.2.5.1 (review confirms access remains valid and least privilege); 4.2.3.1 (AD accounts unused for 90 days reviewed and disabled/removed; the privileged memberships were kept and re-certified); 4.2.5.7.</t>
  </si>
  <si>
    <t xml:space="preserve">Same conclusion. Basis strengthened: non-use since 10/2023 is provable at both decision dates. Draft relied on the 11/25/2025 'disabled' status, which post-dates the decision.</t>
  </si>
  <si>
    <t xml:space="preserve">Unlikely to clear. Recommend immediate removal of the memberships.</t>
  </si>
  <si>
    <t xml:space="preserve">MIA25104</t>
  </si>
  <si>
    <t xml:space="preserve">Jefferson Paez Venegas / 100531049 (IAMS termination 12/31/2024)</t>
  </si>
  <si>
    <t xml:space="preserve">APPROVED 08/28/2025 10:39 AM (E04 rows 2526-2528). Account enabled; lastLogonDate 11/20/2025 (in use); expires 01/01/2026.</t>
  </si>
  <si>
    <t xml:space="preserve">PASS</t>
  </si>
  <si>
    <t xml:space="preserve">APPROVED 04/30/2026 (bulk). Enabled, CN=Users; lastLogon 04/28/2026 (in use); expiry extended to 06/01/2026.</t>
  </si>
  <si>
    <t xml:space="preserve">Enabled 11/25/2025, 05/15/2026, 10/10/2026 (employeeNumber 100531049). AD expiry extended 01/01/2026 -&gt; 06/01/2026, which corroborates the contract extension.</t>
  </si>
  <si>
    <t xml:space="preserve">Approved: SOX rows 89-91; CyberArk rows 422-424.</t>
  </si>
  <si>
    <t xml:space="preserve">Worker SANWK00016508 Open 2024-01-01 to 2027-02-28; ref 100531049 = SanIAM. Prior SANWK00014980 Closed 2023-10-08 to 2023-12-31, so continuous. Current WO SANWO00017799 Rev.18 starts 2026-09-29 (see limitation).</t>
  </si>
  <si>
    <t xml:space="preserve">None. E2 = observation only (stale IAMS date).</t>
  </si>
  <si>
    <t xml:space="preserve">Owner (1)-(3) as above. ASSESSMENT: accepted. Three independent sources show an active, extended consultant: Fieldglass worker record, AD expiry extension and AD logons.</t>
  </si>
  <si>
    <t xml:space="preserve">4.2.5.1 (access valid - account in use); 4.2.5.6 (manager/host attests contractors); 4.2.1.1 (HR/Fieldglass authoritative); 4.2.5.21 not triggered (no revocation).</t>
  </si>
  <si>
    <t xml:space="preserve">Same conclusion. Added AD corroboration (expiry extension, logons) so the PASS does not rest on the Fieldglass screenshot alone.</t>
  </si>
  <si>
    <t xml:space="preserve">FAIL only if the Fieldglass detail view shows the engagement lapsed on 08/28/2025 or 04/30/2026.</t>
  </si>
  <si>
    <t xml:space="preserve">MIA25105</t>
  </si>
  <si>
    <t xml:space="preserve">David Serrano Aguirre / 100531050 (IAMS termination 12/31/2024)</t>
  </si>
  <si>
    <t xml:space="preserve">APPROVED 08/28/2025 (rows 2529-2531). Enabled; lastLogonDate 11/18/2025.</t>
  </si>
  <si>
    <t xml:space="preserve">APPROVED 04/30/2026 (bulk). Enabled; lastLogon 04/17/2026; expiry 06/01/2026.</t>
  </si>
  <si>
    <t xml:space="preserve">Enabled 11/25/2025, 05/15/2026, 10/10/2026.</t>
  </si>
  <si>
    <t xml:space="preserve">Approved: SOX rows 92-94; CyberArk rows 425-427.</t>
  </si>
  <si>
    <t xml:space="preserve">Worker SANWK00016502 Open 2024-01-01 to 2027-02-28; ref 100531050. Prior SANWK00014979 Closed 2023. Current WO SANWO00017797 Rev.18 from 2026-09-29.</t>
  </si>
  <si>
    <t xml:space="preserve">None. E2 = observation.</t>
  </si>
  <si>
    <t xml:space="preserve">As MIA25104. Accepted.</t>
  </si>
  <si>
    <t xml:space="preserve">4.2.5.1; 4.2.5.6; 4.2.1.1.</t>
  </si>
  <si>
    <t xml:space="preserve">Same conclusion; AD corroboration added.</t>
  </si>
  <si>
    <t xml:space="preserve">As MIA25104.</t>
  </si>
  <si>
    <t xml:space="preserve">MIA25106</t>
  </si>
  <si>
    <t xml:space="preserve">Maiko Vazquez Arias / 100531051 (IAMS termination 12/31/2024)</t>
  </si>
  <si>
    <t xml:space="preserve">APPROVED 08/28/2025 (rows 2532-2534). Enabled; lastLogonDate 11/18/2025.</t>
  </si>
  <si>
    <t xml:space="preserve">APPROVED 04/30/2026 (bulk). Enabled; lastLogon 05/13/2026; expiry 06/01/2026.</t>
  </si>
  <si>
    <t xml:space="preserve">Approved: SOX rows 95-97; CyberArk rows 428-430.</t>
  </si>
  <si>
    <t xml:space="preserve">Worker SANWK00016503 Open 2024-01-01 to 2027-02-28; ref 100531051. Prior SANWK00014977 Closed 2023. Current WO SANWO00017800 Rev.18 from 2026-09-29.</t>
  </si>
  <si>
    <t xml:space="preserve">MIA25249</t>
  </si>
  <si>
    <t xml:space="preserve">Richard Harris / 100592069 (IAMS termination 12/31/2024). Fieldglass also shows an ACTIVE Santander US employee 'Harris, Richard (n222712)', Hiring Manager, ISB00_73097</t>
  </si>
  <si>
    <t xml:space="preserve">APPROVED 08/28/2025 (rows 2549-2551). Enabled; lastLogonDate 11/17/2025 (in use). Fieldglass worker Open. No exception.</t>
  </si>
  <si>
    <t xml:space="preserve">APPROVED 04/30/2026 (bulk) while DISABLED and in OU=Inactive AD Accounts since 04/02/2026 17:52:08 (same second as MIA25103, i.e. a batch inactivity job). Last logon 12/10/2025: 113 days at disablement, 141 days at the decision. The reviewer approved privileged access that had been unused for more than 90 days.</t>
  </si>
  <si>
    <t xml:space="preserve">11/25/2025 enabled. 05/15/2026 DISABLED, Inactive OU. 10/10/2026 ENABLED again (employeeID x376277; employeeNumber 100592069). No request or Netwrix event for the re-enable.</t>
  </si>
  <si>
    <t xml:space="preserve">Approved: SOX rows 104-106; CyberArk rows 437-439, after the account had been disabled for inactivity.</t>
  </si>
  <si>
    <t xml:space="preserve">Worker SANWK00016311 Open 2023-12-28 to 2027-02-28; ref 100592069. AD account created 2023-12-31, consistent. Shows no termination, but cannot explain the disablement. The evidence points to inactivity, not a contract gap.</t>
  </si>
  <si>
    <t xml:space="preserve">A5-E1 (2026 Q1); unevidenced re-enable (4.2.3.4)</t>
  </si>
  <si>
    <t xml:space="preserve">Owner (1)-(3). No explanation for the disablement or re-enable. ASSESSMENT: (1)-(2) accepted for 2025 Q3; the 2026 Q1 exception stands.</t>
  </si>
  <si>
    <t xml:space="preserve">4.2.5.1; 4.2.3.1 (90-day inactivity: the account was correctly disabled, but the reviewer then certified its privileged access); 4.2.3.4 (re-enabling restores privileged access without a request); 4.2.5.7.</t>
  </si>
  <si>
    <t xml:space="preserve">Same conclusion. Cause of the April disablement identified (inactivity sweep), so the 'possible contract interruption' theory is not supported.</t>
  </si>
  <si>
    <t xml:space="preserve">Business justification approved before 04/30/2026 plus an approved re-enable request could reduce this to an observation.</t>
  </si>
  <si>
    <t xml:space="preserve">MIA25250</t>
  </si>
  <si>
    <t xml:space="preserve">Kevin Ackley / 100592068 (IAMS termination 12/31/2024). Fieldglass also shows an ACTIVE Santander US employee 'Ackley, Kevin (n67450)', Hiring Manager, ISB00_73097</t>
  </si>
  <si>
    <t xml:space="preserve">APPROVED 08/28/2025 (rows 2552-2554). Enabled. Recorded lastLogonDate 11/07/2025 09:00:30 = PasswordLastSet 11/07/2025 09:00:30 (same second). This is likely a password-reset artifact, so genuine use is NOT evidenced. Treated as no exception for Sample 1 (enabled, Fieldglass active), with that limitation noted.</t>
  </si>
  <si>
    <t xml:space="preserve">APPROVED 04/30/2026 (bulk) while DISABLED, in Inactive OU since 04/03/2026 00:38:34. Last logon 11/07/2025: 147 days at disablement, 174 at the decision.</t>
  </si>
  <si>
    <t xml:space="preserve">11/25/2025 enabled (employeeID x375759). 05/15/2026 DISABLED. 10/10/2026 ENABLED with employeeID AND employeeNumber BLANK. The HR link attributes were cleared at or after re-enable. No request on file.</t>
  </si>
  <si>
    <t xml:space="preserve">Approved: SOX rows 101-103; CyberArk rows 434-436.</t>
  </si>
  <si>
    <t xml:space="preserve">Worker SANWK00016313 Open 2023-12-28 to 2027-02-28; ref 100592068. Workforce SGTOWF00003892. AD created 2023-12-30, consistent. Does not explain the disablement.</t>
  </si>
  <si>
    <t xml:space="preserve">A5-E1 (2026 Q1); unevidenced re-enable; HR-sync gap (4.2.1.1)</t>
  </si>
  <si>
    <t xml:space="preserve">As MIA25249; no explanation for the blank employeeID/employeeNumber. ASSESSMENT: exception stands.</t>
  </si>
  <si>
    <t xml:space="preserve">4.2.5.1; 4.2.3.1; 4.2.3.4; 4.2.1.1 (personal accounts fully synchronized with HR).</t>
  </si>
  <si>
    <t xml:space="preserve">Same conclusion. Corrected: BOTH employeeID and employeeNumber are blank (the draft said employeeNumber only). The 'last logon' is a password-set artifact. Cause of the disablement = inactivity.</t>
  </si>
  <si>
    <t xml:space="preserve">As MIA25249, plus restore HR linkage.</t>
  </si>
  <si>
    <t xml:space="preserve">2_SLA_Reperformance - 30 business days from the close of the 2025 Q3 review (SUS.IAMS.4.2.5.21)</t>
  </si>
  <si>
    <t xml:space="preserve">Close of review = decision/sign-off 08/28/2025 (all 4 accounts). Removal and re-add dates read from the Netwrix captures in E04 (tabs 2 and 3, REVOCATION EVIDENCE). Business days are counted with US bank holidays (Holidays tab). Formulas recalculate.</t>
  </si>
  <si>
    <t xml:space="preserve">Group</t>
  </si>
  <si>
    <t xml:space="preserve">Revoke decision</t>
  </si>
  <si>
    <t xml:space="preserve">Netwrix removed</t>
  </si>
  <si>
    <t xml:space="preserve">Bus. days to removal</t>
  </si>
  <si>
    <t xml:space="preserve">SLA deadline</t>
  </si>
  <si>
    <t xml:space="preserve">Removed within SLA?</t>
  </si>
  <si>
    <t xml:space="preserve">Netwrix re-added (if evidenced)</t>
  </si>
  <si>
    <t xml:space="preserve">Bus. days revoked -&gt; re-added</t>
  </si>
  <si>
    <t xml:space="preserve">Re-added before SLA deadline?</t>
  </si>
  <si>
    <t xml:space="preserve">Member on 11/25/2025 (MemberOf)?</t>
  </si>
  <si>
    <t xml:space="preserve">Sustained?</t>
  </si>
  <si>
    <t xml:space="preserve">CISCO Network Administrators</t>
  </si>
  <si>
    <t xml:space="preserve">not in package</t>
  </si>
  <si>
    <t xml:space="preserve">Yes</t>
  </si>
  <si>
    <t xml:space="preserve">No</t>
  </si>
  <si>
    <t xml:space="preserve">ISEAdmin</t>
  </si>
  <si>
    <t xml:space="preserve">Also added at 09/10/2025 2:33:04 AM: MIA25172 and MIA25175 to ISEAdmin (a new group for both; their privileged network access had been denied on 08/28/2025). Actor for every removal and add = 'system', workstation 'unknown'. CyberArk_Alero_Users (revoked for all 4, Definition of Privilege sec. 3.2) has no removal evidence and was still held on 11/25/2025 and 05/15/2026. That is outside C7 scope and should be referred to the CyberArk control.</t>
  </si>
  <si>
    <t xml:space="preserve">3_Corrections_to_Draft - points in the prior conclusions / testing procedures that the source evidence does not support</t>
  </si>
  <si>
    <t xml:space="preserve">None of these changes an account result. Items 1, 2, 4 and 10 must be fixed before review sign-off.</t>
  </si>
  <si>
    <t xml:space="preserve">Topic</t>
  </si>
  <si>
    <t xml:space="preserve">Prior draft says</t>
  </si>
  <si>
    <t xml:space="preserve">What the source evidence shows</t>
  </si>
  <si>
    <t xml:space="preserve">Correction / action</t>
  </si>
  <si>
    <t xml:space="preserve">Priority</t>
  </si>
  <si>
    <t xml:space="preserve">Policy version in force</t>
  </si>
  <si>
    <t xml:space="preserve">Draft A22: 'IAM Standard v10.0 (approved 09/29/2025, in force for both samples)'.</t>
  </si>
  <si>
    <t xml:space="preserve">v10.0 sign-off 09/29/2025 (E01a p.30). The 2025 Q3 decisions were made 08/06-08/28/2025, so v9.0 (2024 annual update) governed Sample 1. Same issue for the PAM Procedure: v2.0 approved 04/22/2026, v1.0 dated 04/22/2025 (E02 p.2).</t>
  </si>
  <si>
    <t xml:space="preserve">Obtain IAM v9.0 and PAM Proc. v1.0, or document that 4.2.5.1/.7/.10/.21, 4.2.3.1/.4, 4.2.1.1 and PAM 4.1.1/4.2 are unchanged. Cite v9.0/v1.0 for Sample 1.</t>
  </si>
  <si>
    <t xml:space="preserve">High</t>
  </si>
  <si>
    <t xml:space="preserve">Re-grant evidence</t>
  </si>
  <si>
    <t xml:space="preserve">Draft rows 1-4 and the TP: 'No ... Netwrix event'; OI-03 lists 'member added' events as not received.</t>
  </si>
  <si>
    <t xml:space="preserve">E04 tab 3_ISEAdmin Netwrix capture (row ~3108): 09/10/2025 2:33:04 AM, Who=system, ISEAdmin Members Added: Perez Peralta, Hernandez Ruiz (from Inactive AD Accounts OU), Nieves Nieves, Hernandez Acevedo. E06 cites the event only as 'MIA25172/MIA25175 added 9/10/2025'.</t>
  </si>
  <si>
    <t xml:space="preserve">Cite the event for all 4 accounts. Narrow OI-03 to the Cisco Network Admins re-add and the approved requests. Raise the 'system' actor and the ~2:30 AM timing (also 08/30/2025 2:32:54 AM for X842395) as a root-cause lead.</t>
  </si>
  <si>
    <t xml:space="preserve">A6 timeliness wording</t>
  </si>
  <si>
    <t xml:space="preserve">TP step 5: 'Timeliness met for all 36 revocations; removal not sustained'.</t>
  </si>
  <si>
    <t xml:space="preserve">For ISEAdmin (MIA25142, X453396), access was restored on 09/10/2025, before the SLA deadline of 10/10/2025. The revocation stood for 8 days and about 40 hours. As of the SLA deadline the revocation was not in effect.</t>
  </si>
  <si>
    <t xml:space="preserve">Keep 'removed within SLA' for the removal event, but state that it was reversed inside the SLA window. Do not describe A6 timeliness as fully effective.</t>
  </si>
  <si>
    <t xml:space="preserve">Medium</t>
  </si>
  <si>
    <t xml:space="preserve">Cause of April 2026 disablement</t>
  </si>
  <si>
    <t xml:space="preserve">Draft N13/N14, TP: reason unknown; Fieldglass 'possible interruption' linked to the April disables.</t>
  </si>
  <si>
    <t xml:space="preserve">E05 AD 05/15/2026: MIA25103/25249/25250/25251 in OU=Inactive AD Accounts; whenChanged 04/02/2026 17:52:08 (MIA25103 and MIA25249, same second) and 04/03/2026 00:38 (MIA25250/51); last logons 12/10/2025 and 11/07/2025, i.e. 113-147 days. This matches the 90-day inactivity process (4.2.3.1).</t>
  </si>
  <si>
    <t xml:space="preserve">Re-word E1 for MIA25249/MIA25250 as 'approved privileged access on accounts disabled for &gt;90 days' inactivity'. Remove the April link from the Fieldglass interruption theory. Ask only for the re-enable request.</t>
  </si>
  <si>
    <t xml:space="preserve">MIA25172 / MIA25175 termination date</t>
  </si>
  <si>
    <t xml:space="preserve">Draft treats E2 as 12/31/2024 for the contingent group; correlation described as 'not linked to an HR identity'.</t>
  </si>
  <si>
    <t xml:space="preserve">E04: IAMS Termination Date = 12/31/2026 for both in 2025 Q3; blank in 2026 Q1/Q2. AD 10/10/2026 employeeNumber 100546248 / 100546251, matching management's SAMPLE tab, but SanIAM Identity = account name.</t>
  </si>
  <si>
    <t xml:space="preserve">Describe as a SanIAM correlation break (and 4.2.5.6: uncorrelated accounts belong in the Application Owner review).</t>
  </si>
  <si>
    <t xml:space="preserve">Low</t>
  </si>
  <si>
    <t xml:space="preserve">MIA25250 HR attributes</t>
  </si>
  <si>
    <t xml:space="preserve">Draft F14: 'AD employeeNumber blank'.</t>
  </si>
  <si>
    <t xml:space="preserve">10/10/2026 export: employeeID AND employeeNumber blank for MIA25250 and MIA25251; employeeID was x375759 / x376233 on 11/25/2025. The attribute was cleared between the two extracts.</t>
  </si>
  <si>
    <t xml:space="preserve">Correct the wording and add MIA25251 (out of sample) to OBS.</t>
  </si>
  <si>
    <t xml:space="preserve">MIA25250 usage evidence</t>
  </si>
  <si>
    <t xml:space="preserve">Draft D14: 'AD enabled, last logon 11/07/2025' (treated as in use).</t>
  </si>
  <si>
    <t xml:space="preserve">lastLogonDate 11/07/2025 09:00:30 = PasswordLastSet 09:00:30 (same for MIA25251 at 09:00:24). Likely a password reset, not a user logon.</t>
  </si>
  <si>
    <t xml:space="preserve">Note the limitation for Sample 1. The conclusion is not changed.</t>
  </si>
  <si>
    <t xml:space="preserve">X453396 on the E2 list</t>
  </si>
  <si>
    <t xml:space="preserve">TP 'Scope gap: MIA25142 and X453396 were in the E2 list'.</t>
  </si>
  <si>
    <t xml:space="preserve">X453396 has no IAMS termination date in 2025 Q3, 2026 Q1 or 2026 Q2.</t>
  </si>
  <si>
    <t xml:space="preserve">Remove X453396 from the E2 follow-up; keep MIA25142.</t>
  </si>
  <si>
    <t xml:space="preserve">Basis for MIA25103 2025 Q3 exception</t>
  </si>
  <si>
    <t xml:space="preserve">Draft relies on 'APPROVED 8/28/2025 while AD account DISABLED'.</t>
  </si>
  <si>
    <t xml:space="preserve">The only AD extract for Sample 1 is dated 11/25/2025, three months after the decision, so the enabled flag on 08/28/2025 is inferred. Last logon 10/15/2023 proves 683 days of non-use at the decision date.</t>
  </si>
  <si>
    <t xml:space="preserve">Base E1 on non-use (4.2.5.1/4.2.3.1). Treat 'disabled' as supporting.</t>
  </si>
  <si>
    <t xml:space="preserve">Reviewer behaviour / root cause</t>
  </si>
  <si>
    <t xml:space="preserve">Not addressed in the draft conclusions.</t>
  </si>
  <si>
    <t xml:space="preserve">Borges decisions in bursts: 08/28/2025 10:25-10:40 AM (130 rows); 04/30/2026 1:47 PM (69 memberships, 345 duplicated rows, single timestamp); 07/27/2026 12:45 PM (65); 08/17/2026 9:22-9:23 AM (98). The reviewer is also the BSI CISO (E02 p.13), the control owner, the exception approver (E02 sec. 5) and the escalation point.</t>
  </si>
  <si>
    <t xml:space="preserve">Add as the root cause of E1/E3 and as a design observation (no independent challenge of the reviewer).</t>
  </si>
  <si>
    <t xml:space="preserve">Frequency (A1)</t>
  </si>
  <si>
    <t xml:space="preserve">Treated as an observation pending OI-01.</t>
  </si>
  <si>
    <t xml:space="preserve">245 days between the 2025 Q3 decisions (08/28/2025) and the 2026 Q1 decisions (04/30/2026), more than 6 months. IAM 4.2.5.6: privileged accounts enrolled in PAMS 'must be recertified quarterly'; PAM Proc. sec. 2: SOX quarterly.</t>
  </si>
  <si>
    <t xml:space="preserve">If 2025 Q4 is not evidenced, rate A1 as an exception against the procedure (quarterly). Under a calendar-half reading of 'at least semiannually' it is met. Reviewer to decide.</t>
  </si>
  <si>
    <t xml:space="preserve">Workpaper labels in E04</t>
  </si>
  <si>
    <t xml:space="preserve">-</t>
  </si>
  <si>
    <t xml:space="preserve">E04 tab 3_ISEAdmin col. A labels MIA25142 and X453396 'Member Certified / Approved' although their ISEAdmin entitlement was Revoked.</t>
  </si>
  <si>
    <t xml:space="preserve">Do not rely on the col. A annotations. Use the SanIAM decision rows and MemberOf (as done here).</t>
  </si>
  <si>
    <t xml:space="preserve">4_Fieldglass_Inspection - E10 e-mail 'RE: Request for Fieldglass Evidence - BSI.IT.27.C7 Testing'</t>
  </si>
  <si>
    <t xml:space="preserve">Chain inspected: request 10/14/2026 4:48 PM (E. Morfa to L. Carballea, N. De Castro; cc IT Governance, M. Mingo, E. Noda, C. Vidal) -&gt; reminder 10/23/2026 9:31 AM to BSI Procurement -&gt; reply Thu 10/29/2026 13:52:01 UTC (9:52 AM EDT) from Ana Belloso &lt;ABelloso@bpi-gruposantander.com&gt;. 7 inline PNG captures (image001-007), one per worker. Source independent of the control owner (Procurement). All captures share title SGTO_CYBER BAU_PROTECT_2023, supplier Grupo Santander (SGT), dept GREXT_000079 Cyber Security, job code USA_SOVOR_EXT024, location Brickell Plaza-Corp (US06374), job posting SANTQ00001069.</t>
  </si>
  <si>
    <t xml:space="preserve">SanIAM account</t>
  </si>
  <si>
    <t xml:space="preserve">Fieldglass name</t>
  </si>
  <si>
    <t xml:space="preserve">Capture</t>
  </si>
  <si>
    <t xml:space="preserve">Worker ID</t>
  </si>
  <si>
    <t xml:space="preserve">Status</t>
  </si>
  <si>
    <t xml:space="preserve">Worker period</t>
  </si>
  <si>
    <t xml:space="preserve">Buyer reference</t>
  </si>
  <si>
    <t xml:space="preserve">Agrees to SanIAM identity (E05/E07)?</t>
  </si>
  <si>
    <t xml:space="preserve">Prior engagement shown</t>
  </si>
  <si>
    <t xml:space="preserve">Current work order</t>
  </si>
  <si>
    <t xml:space="preserve">Job seeker submitted</t>
  </si>
  <si>
    <t xml:space="preserve">Covers 08/28/2025?</t>
  </si>
  <si>
    <t xml:space="preserve">Covers 04/30/2026?</t>
  </si>
  <si>
    <t xml:space="preserve">'More Results: Next &gt;&gt;' (truncated)?</t>
  </si>
  <si>
    <t xml:space="preserve">Other observations</t>
  </si>
  <si>
    <t xml:space="preserve">Ramirez Gonzalez, Ivan</t>
  </si>
  <si>
    <t xml:space="preserve">image001</t>
  </si>
  <si>
    <t xml:space="preserve">SANWK00016501</t>
  </si>
  <si>
    <t xml:space="preserve">Open</t>
  </si>
  <si>
    <t xml:space="preserve">2024-01-01 - 2027-02-28</t>
  </si>
  <si>
    <t xml:space="preserve">100531048</t>
  </si>
  <si>
    <t xml:space="preserve">100531048 - match</t>
  </si>
  <si>
    <t xml:space="preserve">SANWK00014976 Closed 2023-10-08 - 2023-12-31 (Miami - Unassigned Workers; WO SANWO00016242 Rev.0)</t>
  </si>
  <si>
    <t xml:space="preserve">SANWO00017798 (Rev.18) Confirmed 2026-09-29 - 2027-02-28</t>
  </si>
  <si>
    <t xml:space="preserve">SGTOJS00000382 - 2026-09-29 12:04 PM</t>
  </si>
  <si>
    <t xml:space="preserve">AD created 2023-07-01, before the first Fieldglass record shown (2023-10-08). Possibly on the next results page. Prior period.</t>
  </si>
  <si>
    <t xml:space="preserve">Paez Venegas, Jefferson</t>
  </si>
  <si>
    <t xml:space="preserve">image002</t>
  </si>
  <si>
    <t xml:space="preserve">SANWK00016508</t>
  </si>
  <si>
    <t xml:space="preserve">100531049</t>
  </si>
  <si>
    <t xml:space="preserve">100531049 - match</t>
  </si>
  <si>
    <t xml:space="preserve">SANWK00014980 Closed 2023-10-08 - 2023-12-31</t>
  </si>
  <si>
    <t xml:space="preserve">SANWO00017799 (Rev.18) 2026-09-29 - 2027-02-28</t>
  </si>
  <si>
    <t xml:space="preserve">SGTOJS00000383 - 2026-09-29 12:05 PM</t>
  </si>
  <si>
    <t xml:space="preserve">No (cropped)</t>
  </si>
  <si>
    <t xml:space="preserve">Same AD-created observation (2023-07-01).</t>
  </si>
  <si>
    <t xml:space="preserve">Serrano Aguirre, David</t>
  </si>
  <si>
    <t xml:space="preserve">image003</t>
  </si>
  <si>
    <t xml:space="preserve">SANWK00016502</t>
  </si>
  <si>
    <t xml:space="preserve">100531050</t>
  </si>
  <si>
    <t xml:space="preserve">100531050 - match</t>
  </si>
  <si>
    <t xml:space="preserve">SANWK00014979 Closed 2023-10-08 - 2023-12-31</t>
  </si>
  <si>
    <t xml:space="preserve">SANWO00017797 (Rev.18) 2026-09-29 - 2027-02-28</t>
  </si>
  <si>
    <t xml:space="preserve">SGTOJS00000381 - 2026-09-29 12:04 PM</t>
  </si>
  <si>
    <t xml:space="preserve">Vazquez Arias, Maiko</t>
  </si>
  <si>
    <t xml:space="preserve">image004</t>
  </si>
  <si>
    <t xml:space="preserve">SANWK00016503</t>
  </si>
  <si>
    <t xml:space="preserve">100531051</t>
  </si>
  <si>
    <t xml:space="preserve">100531051 - match</t>
  </si>
  <si>
    <t xml:space="preserve">SANWK00014977 Closed 2023-10-08 - 2023-12-31</t>
  </si>
  <si>
    <t xml:space="preserve">SANWO00017800 (Rev.18) 2026-09-29 - 2027-02-28</t>
  </si>
  <si>
    <t xml:space="preserve">SGTOJS00000384 - 2026-09-29 12:05 PM</t>
  </si>
  <si>
    <t xml:space="preserve">Harris, Richard</t>
  </si>
  <si>
    <t xml:space="preserve">image005</t>
  </si>
  <si>
    <t xml:space="preserve">SANWK00016311</t>
  </si>
  <si>
    <t xml:space="preserve">2023-12-28 - 2027-02-28</t>
  </si>
  <si>
    <t xml:space="preserve">100592069</t>
  </si>
  <si>
    <t xml:space="preserve">100592069 - match</t>
  </si>
  <si>
    <t xml:space="preserve">none shown</t>
  </si>
  <si>
    <t xml:space="preserve">SANWO00017821 (Rev.18) 2026-09-29 - 2027-02-28</t>
  </si>
  <si>
    <t xml:space="preserve">SGTOJS00000391 - 2026-09-29 12:05 PM</t>
  </si>
  <si>
    <t xml:space="preserve">Also EMPLOYEE 'Harris, Richard (n222712)' Active, Hiring Manager, ISB00_73097 Cyber Security Eng. &amp; Arch., REMOTE-Tennessee. AD MIA25249 created 2023-12-31, consistent.</t>
  </si>
  <si>
    <t xml:space="preserve">Ackley, Kevin</t>
  </si>
  <si>
    <t xml:space="preserve">image006</t>
  </si>
  <si>
    <t xml:space="preserve">SANWK00016313</t>
  </si>
  <si>
    <t xml:space="preserve">100592068</t>
  </si>
  <si>
    <t xml:space="preserve">100592068 - match</t>
  </si>
  <si>
    <t xml:space="preserve">SANWO00017820 (Rev.18) 2026-09-29 - 2027-02-28</t>
  </si>
  <si>
    <t xml:space="preserve">SGTOJS00000390 - 2026-09-29 12:05 PM</t>
  </si>
  <si>
    <t xml:space="preserve">Also EMPLOYEE 'Ackley, Kevin (n67450)' Active, Hiring Manager, ISB00_73097, Dallas; Workforce SGTOWF00003892. AD created 2023-12-30.</t>
  </si>
  <si>
    <t xml:space="preserve">MIA25251 (not in the 10)</t>
  </si>
  <si>
    <t xml:space="preserve">Rimal, Ashish</t>
  </si>
  <si>
    <t xml:space="preserve">image007</t>
  </si>
  <si>
    <t xml:space="preserve">SANWK00016312</t>
  </si>
  <si>
    <t xml:space="preserve">100592070</t>
  </si>
  <si>
    <t xml:space="preserve">100592070 - match</t>
  </si>
  <si>
    <t xml:space="preserve">SANWO00017819 (Rev.18) 2026-09-29 - 2027-02-28</t>
  </si>
  <si>
    <t xml:space="preserve">SGTOJS00000389 - 2026-09-29 12:05 PM</t>
  </si>
  <si>
    <t xml:space="preserve">Also EMPLOYEE 'Rimal, Ashish (n600486)' Active, Hiring Manager, ISB00_73097, Dallas.</t>
  </si>
  <si>
    <t xml:space="preserve">WHAT WAS REQUESTED vs. RECEIVED</t>
  </si>
  <si>
    <t xml:space="preserve">Requested: system-generated extract/screenshot with report date and parameters - NOT received (global-search screenshots pasted in the body; no run date or parameters).</t>
  </si>
  <si>
    <t xml:space="preserve">Requested: original engagement start/end - PARTIAL (worker period shown; 2023 records for MIA25103-06 only).</t>
  </si>
  <si>
    <t xml:space="preserve">Requested: extensions with approval date and approver - NOT received (only the Rev.18 count is visible; Rev.0-17 not shown).</t>
  </si>
  <si>
    <t xml:space="preserve">Requested: status as of 08/28/2025, 04/30/2026, 07/27/2026 - NOT received explicitly. Inferred from the Open worker period.</t>
  </si>
  <si>
    <t xml:space="preserve">Requested: any termination/interruption/gap in April 2026 - NOT answered.</t>
  </si>
  <si>
    <t xml:space="preserve">ASSESSMENT</t>
  </si>
  <si>
    <t xml:space="preserve">1. Authenticity/consistency: 7 of 7 buyer references equal the SanIAM identities; AD creation dates (2023-12-30/31) agree with the Harris/Ackley/Rimal worker start (2023-12-28); the MIA25103-06 2023 records end 2023-12-31 and the current workers start 2024-01-01 (continuous). Reasonable reliance for 'engaged / not terminated'.</t>
  </si>
  <si>
    <t xml:space="preserve">2. Unexplained bulk event: all 7 job-seeker records were submitted 09/29/2026 12:04-12:05 PM and every current work order starts 09/29/2026. This is after the period, after the 2026 Q2 certifications (07/27 and 08/17/2026) and 15 days before the audit request. The work order covering 2024 to 09/28/2026 is not shown; 4 captures are truncated ('Next &gt;&gt;'), so it may simply be on the next page. Not evidence of a gap, but it must be explained.</t>
  </si>
  <si>
    <t xml:space="preserve">3. The April 2026 disables are NOT a Fieldglass matter. The AD evidence shows the 90-day inactivity sweep (see 3_Corrections #4).</t>
  </si>
  <si>
    <t xml:space="preserve">4. Conclusion: E2 (IAMS termination 12/31/2024) is a data-quality OBSERVATION. SanIAM is not synchronized with Fieldglass (4.2.1.1). Fieldglass has no bearing on E1 (approval of unused/disabled access) or E3 (re-grant without request).</t>
  </si>
  <si>
    <t xml:space="preserve">5. Harris, Ackley and Rimal each also have an ACTIVE Santander US employee record in the same department (ISB00_73097). If these are the same people, they hold two identities (employee + contingent worker), and the BSI MIA account's leaver trigger is tied to the contingent record only. IAM to confirm (OBS-05).</t>
  </si>
  <si>
    <t xml:space="preserve">5_Observations_OpenItems - control-level observations and open items arising from the re-performance</t>
  </si>
  <si>
    <t xml:space="preserve">These are in addition to OI-01 to OI-10 / OBS-01 to OBS-07 in the testing procedures. Exceptions must be formally communicated to the Control Owner and BU BCO before Issue Management (RCSA Testing Procedure 4.4.8.4).</t>
  </si>
  <si>
    <t xml:space="preserve">Ref</t>
  </si>
  <si>
    <t xml:space="preserve">Area</t>
  </si>
  <si>
    <t xml:space="preserve">Observation / item</t>
  </si>
  <si>
    <t xml:space="preserve">Recommended action</t>
  </si>
  <si>
    <t xml:space="preserve">Owner</t>
  </si>
  <si>
    <t xml:space="preserve">OBS-R01</t>
  </si>
  <si>
    <t xml:space="preserve">Root cause / review quality</t>
  </si>
  <si>
    <t xml:space="preserve">Bulk approval by a single reviewer in every cycle (see 3_Corrections #10). The disabled/unused accounts and the re-granted access were approved without challenge in 4 consecutive reviews.</t>
  </si>
  <si>
    <t xml:space="preserve">Require item-level review evidence; SanIAM to flag disabled, inactive (&gt;90 days) and previously-revoked entitlements to the reviewer; second-line QA sample of each campaign.</t>
  </si>
  <si>
    <t xml:space="preserve">Control owner / IAM</t>
  </si>
  <si>
    <t xml:space="preserve">OBS-R02</t>
  </si>
  <si>
    <t xml:space="preserve">Segregation of oversight</t>
  </si>
  <si>
    <t xml:space="preserve">Dayam Borges is BSI CISO (E02 p.13), control owner/executor, line manager/host of all sampled accounts (AD manager + Description), the person who decides all person items, the approver of procedure exceptions (E02 sec. 5) and the RASCI 'A' for every step.</t>
  </si>
  <si>
    <t xml:space="preserve">Assign an independent reviewer or a second approver for the CISO's own direct reports and hosted consultants.</t>
  </si>
  <si>
    <t xml:space="preserve">BSI CISO / Santander US Head of IAS</t>
  </si>
  <si>
    <t xml:space="preserve">OBS-R03</t>
  </si>
  <si>
    <t xml:space="preserve">Automated re-grant</t>
  </si>
  <si>
    <t xml:space="preserve">Netwrix shows privileged-group adds at about 2:30 AM by 'system' (08/30/2025 X842395; 09/10/2025 four revoked users). This suggests a scheduled job/sync that re-adds members outside the request process.</t>
  </si>
  <si>
    <t xml:space="preserve">Identify the job or tool; bring it under the request/approval process; add a post-revocation persistence check (PAM Proc. step 10 + next-day/30-day membership diff).</t>
  </si>
  <si>
    <t xml:space="preserve">InfoSec / IT Ops</t>
  </si>
  <si>
    <t xml:space="preserve">OBS-R04</t>
  </si>
  <si>
    <t xml:space="preserve">Inactive privileged accounts</t>
  </si>
  <si>
    <t xml:space="preserve">Disabled or inactive accounts keep their privileged memberships (MIA25103 since 2023) and are re-certified; MIA25249/50/51 were re-enabled by 10/10/2026 with no request.</t>
  </si>
  <si>
    <t xml:space="preserve">Strip privileged memberships when an account is disabled for inactivity; require a request + approval to re-enable.</t>
  </si>
  <si>
    <t xml:space="preserve">IAM / IT Ops</t>
  </si>
  <si>
    <t xml:space="preserve">OBS-R05</t>
  </si>
  <si>
    <t xml:space="preserve">Contractor end-date sync</t>
  </si>
  <si>
    <t xml:space="preserve">IAMS termination 12/31/2024 for 7 contractors vs. Fieldglass Open to 2027-02-28 and AD expiry 06/01/2026 (4.2.1.1).</t>
  </si>
  <si>
    <t xml:space="preserve">Recurring Fieldglass-to-SanIAM end-date reconciliation.</t>
  </si>
  <si>
    <t xml:space="preserve">IAM</t>
  </si>
  <si>
    <t xml:space="preserve">OBS-R06</t>
  </si>
  <si>
    <t xml:space="preserve">Identity correlation</t>
  </si>
  <si>
    <t xml:space="preserve">MIA25172/75 uncorrelated in SanIAM while AD has employeeNumbers; MIA25250/51 employeeID and employeeNumber blank 10/10/2026; Harris/Ackley/Rimal hold a second (employee) identity.</t>
  </si>
  <si>
    <t xml:space="preserve">Correlate and repair; review uncorrelated accounts in the Application Owner campaign (4.2.5.6).</t>
  </si>
  <si>
    <t xml:space="preserve">OBS-R07</t>
  </si>
  <si>
    <t xml:space="preserve">Out-of-scope revoked entitlement</t>
  </si>
  <si>
    <t xml:space="preserve">CyberArk_Alero_Users revoked 08/28/2025 for the 4 accounts; no removal evidence; still held 11/25/2025 and 05/15/2026.</t>
  </si>
  <si>
    <t xml:space="preserve">Refer to the CyberArk control owner (E02 8.1 C8/C24).</t>
  </si>
  <si>
    <t xml:space="preserve">IT RCSA</t>
  </si>
  <si>
    <t xml:space="preserve">OBS-R08</t>
  </si>
  <si>
    <t xml:space="preserve">Report data quality</t>
  </si>
  <si>
    <t xml:space="preserve">2026 Q1 rows repeated 5x; 2026 Q2 'Account Status = Account Removed' on every row; 2026 Q2 SOX Identity/Account Name inverted for MIA25172/75; E04 col. A labels wrong for revoked ISEAdmin rows.</t>
  </si>
  <si>
    <t xml:space="preserve">Fix the report fields before relying on them as IPE.</t>
  </si>
  <si>
    <t xml:space="preserve">IAM / IT RCSA</t>
  </si>
  <si>
    <t xml:space="preserve">OBS-R09</t>
  </si>
  <si>
    <t xml:space="preserve">Frequency</t>
  </si>
  <si>
    <t xml:space="preserve">245 days between the 2025 Q3 and 2026 Q1 decisions; 2025 Q4 not evidenced (OI-01). IAM 4.2.5.6 and PAM Proc. sec. 2 require quarterly.</t>
  </si>
  <si>
    <t xml:space="preserve">Obtain 2025 Q4 or confirm it was not run. If not run, rate A1 as an exception against the procedure.</t>
  </si>
  <si>
    <t xml:space="preserve">IAM / PAM</t>
  </si>
  <si>
    <t xml:space="preserve">OI-R1</t>
  </si>
  <si>
    <t xml:space="preserve">Open item</t>
  </si>
  <si>
    <t xml:space="preserve">Policy versions in force for Sample 1: IAM Standard v9.0 and PAM Procedure v1.0.</t>
  </si>
  <si>
    <t xml:space="preserve">Request from Technology Policy Administration.</t>
  </si>
  <si>
    <t xml:space="preserve">OI-R2</t>
  </si>
  <si>
    <t xml:space="preserve">Approved requests for the 09/10/2025 ISEAdmin adds and the Cisco Network Admins re-adds (before 11/25/2025); identity of the 'system' actor.</t>
  </si>
  <si>
    <t xml:space="preserve">Only evidence that could clear E3.</t>
  </si>
  <si>
    <t xml:space="preserve">PAM / InfoSec</t>
  </si>
  <si>
    <t xml:space="preserve">OI-R3</t>
  </si>
  <si>
    <t xml:space="preserve">Approved re-enable requests for MIA25249/50/51 (between 05/15 and 10/10/2026), and any business justification for approving them on 04/30/2026.</t>
  </si>
  <si>
    <t xml:space="preserve">Only evidence that could reduce E1 for 25249/25250.</t>
  </si>
  <si>
    <t xml:space="preserve">Control owner</t>
  </si>
  <si>
    <t xml:space="preserve">OI-R4</t>
  </si>
  <si>
    <t xml:space="preserve">Fieldglass detail view ('Go to Details') with report date: work-order revision history Rev.0-18, the work order covering 2024 to 09/28/2026, the reason for the 09/29/2026 bulk job-seeker/work-order event, and MIA25142 added.</t>
  </si>
  <si>
    <t xml:space="preserve">Confirms E2 stays an observation.</t>
  </si>
  <si>
    <t xml:space="preserve">BSI Procurement</t>
  </si>
  <si>
    <t xml:space="preserve">OI-R5</t>
  </si>
  <si>
    <t xml:space="preserve">Get-ADGroupMember export of the 4 groups today. MIA25103 memberships should be removed.</t>
  </si>
  <si>
    <t xml:space="preserve">Confirms current exposure.</t>
  </si>
  <si>
    <t xml:space="preserve">IT Ops</t>
  </si>
  <si>
    <t xml:space="preserve">6_Policy_Criteria - requirement text verified against the PDFs in the package</t>
  </si>
  <si>
    <t xml:space="preserve">Page numbers refer to IAM Standard v10.0 (E01a) and PAM Recertification Procedure v2.0 (E02). Requirement IDs and substance were checked against v11.0 (E01).</t>
  </si>
  <si>
    <t xml:space="preserve">Requirement</t>
  </si>
  <si>
    <t xml:space="preserve">Source / page</t>
  </si>
  <si>
    <t xml:space="preserve">Text (verbatim extract)</t>
  </si>
  <si>
    <t xml:space="preserve">Used for</t>
  </si>
  <si>
    <t xml:space="preserve">SUS.IAMS.4.2.1.1</t>
  </si>
  <si>
    <t xml:space="preserve">IAM Std v10.0 p.6-7</t>
  </si>
  <si>
    <t xml:space="preserve">'For external users, HR shall be the authoritative source for all external user account information.' ... 'Personal accounts must be fully synchronized with Santander US HR Systems.'</t>
  </si>
  <si>
    <t xml:space="preserve">E2 (Fieldglass vs IAMS); MIA25250 blank HR attributes; MIA25172/75 correlation</t>
  </si>
  <si>
    <t xml:space="preserve">SUS.IAMS.4.2.3.1</t>
  </si>
  <si>
    <t xml:space="preserve">p.10</t>
  </si>
  <si>
    <t xml:space="preserve">'User Active Directory accounts unused for the previous 90 calendar days shall be reviewed for inactivity and, if confirmed to be inactive, disabled or removed.'</t>
  </si>
  <si>
    <t xml:space="preserve">MIA25103, MIA25249, MIA25250</t>
  </si>
  <si>
    <t xml:space="preserve">SUS.IAMS.4.2.3.4</t>
  </si>
  <si>
    <t xml:space="preserve">p.11</t>
  </si>
  <si>
    <t xml:space="preserve">'Access rights must be provisioned only when requested by an Access Requestor via an approved request mechanism, validated by the proper manager, and authorized by a second level approver.' ... 'The use of an approved mechanism is required to confirm that the request and approval is fully documented for auditing purposes.'</t>
  </si>
  <si>
    <t xml:space="preserve">E3 re-grants (MIA25142, 25172, 25175, X453396); re-enables (25249, 25250)</t>
  </si>
  <si>
    <t xml:space="preserve">SUS.IAMS.4.2.5.1</t>
  </si>
  <si>
    <t xml:space="preserve">p.14</t>
  </si>
  <si>
    <t xml:space="preserve">'The recertification process shall be performed as a formal review of information assets to confirm that all granted access rights entitlements remain valid, updated, and in full compliance with the SoD rules and Principle of Least Privilege.'</t>
  </si>
  <si>
    <t xml:space="preserve">E1 (MIA25103, 25249, 25250); PASS basis for 25104-06</t>
  </si>
  <si>
    <t xml:space="preserve">SUS.IAMS.4.2.5.6</t>
  </si>
  <si>
    <t xml:space="preserve">p.17</t>
  </si>
  <si>
    <t xml:space="preserve">'Managers shall be responsible for attesting to the entitlements and roles assigned to their direct employees, contractors, and other workforce members. Application Owners shall be responsible for attesting to the entitlements of vendor, system, and uncorrelated accounts.' ... 'User access to privileged accounts enrolled in PAMS must be recertified quarterly.'</t>
  </si>
  <si>
    <t xml:space="preserve">Reviewer; uncorrelated MIA25172/75; frequency</t>
  </si>
  <si>
    <t xml:space="preserve">SUS.IAMS.4.2.5.7</t>
  </si>
  <si>
    <t xml:space="preserve">p.18</t>
  </si>
  <si>
    <t xml:space="preserve">'Access is denied if any of the minimum required reviewers ... deny access to a workforce member.' ... 'Any revocations of access rights shall be completed within 30 business days per the SLA.'</t>
  </si>
  <si>
    <t xml:space="preserve">Revoked access must stay denied</t>
  </si>
  <si>
    <t xml:space="preserve">SUS.IAMS.4.2.5.10</t>
  </si>
  <si>
    <t xml:space="preserve">p.19</t>
  </si>
  <si>
    <t xml:space="preserve">Review processes for network devices 'must include ... Review of script outputs to confirm that all access marked for removal was removed.'</t>
  </si>
  <si>
    <t xml:space="preserve">A6 persistence</t>
  </si>
  <si>
    <t xml:space="preserve">SUS.IAMS.4.2.5.19</t>
  </si>
  <si>
    <t xml:space="preserve">p.22</t>
  </si>
  <si>
    <t xml:space="preserve">'Execution of the recertification process must occur at least semi-annually for privileged access rights on any asset.'</t>
  </si>
  <si>
    <t xml:space="preserve">A1</t>
  </si>
  <si>
    <t xml:space="preserve">SUS.IAMS.4.2.5.21</t>
  </si>
  <si>
    <t xml:space="preserve">'Any revocation of privileged access rights resulting from the privileged access review outcomes shall be completed within 30 business days of the close of the review per the SLA.'</t>
  </si>
  <si>
    <t xml:space="preserve">A6 timeliness (2_SLA_Reperformance)</t>
  </si>
  <si>
    <t xml:space="preserve">PAM Proc. sec. 2</t>
  </si>
  <si>
    <t xml:space="preserve">E02 p.4</t>
  </si>
  <si>
    <t xml:space="preserve">'For SOX, this includes quarterly recertification by the line manager for Person ID entitlements and by the owner for service ID entitlements.'</t>
  </si>
  <si>
    <t xml:space="preserve">PAM Proc. 4.1.1 C3-C4</t>
  </si>
  <si>
    <t xml:space="preserve">E02 p.6</t>
  </si>
  <si>
    <t xml:space="preserve">C3: PAM Team submits a ServiceNow Access Revocation ticket on rejection. C4: 'When the ServiceNow ticket is closed, the PAM Team confirms that access is de-provisioned correctly.'</t>
  </si>
  <si>
    <t xml:space="preserve">A6; ServiceNow tickets not provided</t>
  </si>
  <si>
    <t xml:space="preserve">PAM Proc. 4.2</t>
  </si>
  <si>
    <t xml:space="preserve">E02 p.7</t>
  </si>
  <si>
    <t xml:space="preserve">'If PAM US Team identifies that a user whose access was rejected during a quarterly certification but maintained their privileges this finding will be escalated to senior management if the issue is not remediated.'</t>
  </si>
  <si>
    <t xml:space="preserve">No escalation evidenced</t>
  </si>
  <si>
    <t xml:space="preserve">PAM Proc. 8 steps 9-10</t>
  </si>
  <si>
    <t xml:space="preserve">E02 p.10</t>
  </si>
  <si>
    <t xml:space="preserve">Step 9: if the manager approves, the process ends; if revoked, PAM submits revocation tickets. Step 10: 'PAM team verifies completion of all revocations.'</t>
  </si>
  <si>
    <t xml:space="preserve">SLA applies only to revoked access (owner position 1, agreed)</t>
  </si>
  <si>
    <t xml:space="preserve">Def. of Privilege 3.3 / 3.2</t>
  </si>
  <si>
    <t xml:space="preserve">E03 p.7 / p.6</t>
  </si>
  <si>
    <t xml:space="preserve">3.3 Network Administration: CISCO ISE Administrators, CISCO Network Administrators, ISEAdmin, F5FullAdmin. 3.2: CyberArk_Alero_Users = third-party vendor/consultant users (CyberArk).</t>
  </si>
  <si>
    <t xml:space="preserve">Scope</t>
  </si>
  <si>
    <t xml:space="preserve">VERSION APPLICABILITY</t>
  </si>
  <si>
    <t xml:space="preserve">E01a p.30; E02 p.2</t>
  </si>
  <si>
    <t xml:space="preserve">IAM v10.0 approved 09/29/2025 (v9.0 before that); v11.0 approved 07/28/2026. PAM Proc. v1.0 04/22/2025; v2.0 04/22/2026. Sample 1 (decisions 08/28/2025) = IAM v9.0 + PAM v1.0. Sample 2 (launched 04/09/2026, decided 04/30/2026) = IAM v10.0 + PAM v1.0 at launch / v2.0 at decision.</t>
  </si>
  <si>
    <t xml:space="preserve">Quotes above are from v10.0/v2.0. Equivalence to v9.0/v1.0 to be confirmed (OI-R1).</t>
  </si>
  <si>
    <t xml:space="preserve">7_Evidence_Locator</t>
  </si>
  <si>
    <t xml:space="preserve">Row numbers are as read with openpyxl from the package files on 11/01/2026.</t>
  </si>
  <si>
    <t xml:space="preserve">File</t>
  </si>
  <si>
    <t xml:space="preserve">Where</t>
  </si>
  <si>
    <t xml:space="preserve">E04</t>
  </si>
  <si>
    <t xml:space="preserve">BSI.IT.27.C7_E04_Q3_2025.xlsx</t>
  </si>
  <si>
    <t xml:space="preserve">Tab 2_Cisco Network Administrators: AD extract 11/25/2025 (rows 13-~2320; MemberOf col P), SOX Manager cert rows 2331-2618 (MIA25142 2537-2539; MIA25172 2540-2541; MIA25175 2546-2547; X453396 2486-2489; MIA25103-06 2523-2534; MIA25249-51 2549-2557); Netwrix captures rows 2963-3005. Tab 3_ISEAdmin: Netwrix removal captures rows 2964-2977; ADD event 09/10/2025 capture at row ~3108 (note A3107); 08/30/2025 add of X842395 row ~3121.</t>
  </si>
  <si>
    <t xml:space="preserve">E05</t>
  </si>
  <si>
    <t xml:space="preserve">BSI.IT.27.C7_E05_Q1 2026 Cert.xlsx</t>
  </si>
  <si>
    <t xml:space="preserve">Tab 2.Cisco Network Administrators: AD extract 05/15/2026 (cols: enabled F, DN H, whenChanged M, AccountExpirationDate Q, lastLogon R, Description S, MemberOf T); SOX Manager cert rows 2469-3495 (5x duplicated); account rows: MIA25103 r1614, 25104 r1612, 25105 r1613, 25106 r1611, 25142 r1636, 25172 r1655, 25175 r1656, X453396 r1847, 25249 r1799, 25250 r1798, 25251 r1797.</t>
  </si>
  <si>
    <t xml:space="preserve">E07</t>
  </si>
  <si>
    <t xml:space="preserve">BSI.IT.27.C7_E07_C7.Sample.xlsx</t>
  </si>
  <si>
    <t xml:space="preserve">2026Q2PamBsiSox-Manager rows 86-112, 140-145; 2026Q2BsiPamCyberark-Manager rows 419-445, 467-471; Oct10_2026Users (enabled, employeeID, employeeNumber); SAMPLE tab identities.</t>
  </si>
  <si>
    <t xml:space="preserve">E10</t>
  </si>
  <si>
    <t xml:space="preserve">BSI.IT.27.C7_E10_Fieldglass Evidence 10-29-2026.msg / .eml</t>
  </si>
  <si>
    <t xml:space="preserve">Inline images 001-007; e-mail chain 10/14, 10/23, 10/29/2026.</t>
  </si>
  <si>
    <t xml:space="preserve">E01a / E01 / E02 / E03</t>
  </si>
  <si>
    <t xml:space="preserve">Policies</t>
  </si>
  <si>
    <t xml:space="preserve">See 6_Policy_Criteria.</t>
  </si>
  <si>
    <t xml:space="preserve">Prior draft</t>
  </si>
  <si>
    <t xml:space="preserve">BSI.IT.27.C7_Final_Conclusions_10_Accounts_2_1.xlsx</t>
  </si>
  <si>
    <t xml:space="preserve">Both uploaded copies are identical (MD5 2a3129e541c32e1055cc18916fcf9b2c). Compared row by row; differences in 3_Corrections_to_Draft.</t>
  </si>
  <si>
    <t xml:space="preserve">US bank holidays (Federal Reserve) used in 2_SLA_Reperformance</t>
  </si>
  <si>
    <t xml:space="preserve">Date</t>
  </si>
  <si>
    <t xml:space="preserve">Holiday</t>
  </si>
  <si>
    <t xml:space="preserve">New Year's Day</t>
  </si>
  <si>
    <t xml:space="preserve">MLK Day</t>
  </si>
  <si>
    <t xml:space="preserve">Presidents' Day</t>
  </si>
  <si>
    <t xml:space="preserve">Memorial Day</t>
  </si>
  <si>
    <t xml:space="preserve">Juneteenth</t>
  </si>
  <si>
    <t xml:space="preserve">Independence Day</t>
  </si>
  <si>
    <t xml:space="preserve">Labor Day</t>
  </si>
  <si>
    <t xml:space="preserve">Columbus Day</t>
  </si>
  <si>
    <t xml:space="preserve">Veterans Day</t>
  </si>
  <si>
    <t xml:space="preserve">Thanksgiving</t>
  </si>
  <si>
    <t xml:space="preserve">Christmas</t>
  </si>
  <si>
    <t xml:space="preserve">Independence Day (observed)</t>
  </si>
</sst>
</file>

<file path=xl/styles.xml><?xml version="1.0" encoding="utf-8"?>
<styleSheet xmlns="http://schemas.openxmlformats.org/spreadsheetml/2006/main">
  <numFmts count="2">
    <numFmt numFmtId="164" formatCode="General"/>
    <numFmt numFmtId="165" formatCode="mm/dd/yyyy"/>
  </numFmts>
  <fonts count="12">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b val="true"/>
      <sz val="11"/>
      <name val="Arial"/>
      <family val="0"/>
      <charset val="1"/>
    </font>
    <font>
      <i val="true"/>
      <sz val="9"/>
      <name val="Arial"/>
      <family val="0"/>
      <charset val="1"/>
    </font>
    <font>
      <b val="true"/>
      <sz val="9"/>
      <color rgb="FFFFFFFF"/>
      <name val="Arial"/>
      <family val="0"/>
      <charset val="1"/>
    </font>
    <font>
      <sz val="9"/>
      <name val="Arial"/>
      <family val="0"/>
      <charset val="1"/>
    </font>
    <font>
      <b val="true"/>
      <sz val="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C7CE"/>
        <bgColor rgb="FFCCCCFF"/>
      </patternFill>
    </fill>
    <fill>
      <patternFill patternType="solid">
        <fgColor rgb="FFC6EFCE"/>
        <bgColor rgb="FFCCFFFF"/>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4" fontId="11" fillId="0" borderId="0" xfId="0" applyFont="true" applyBorder="true" applyAlignment="true" applyProtection="false">
      <alignment horizontal="general" vertical="bottom"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99999"/>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70"/>
    <col collapsed="false" customWidth="true" hidden="false" outlineLevel="0" max="2" min="2" style="0" width="40"/>
  </cols>
  <sheetData>
    <row r="1" customFormat="false" ht="16.15" hidden="false" customHeight="false" outlineLevel="0" collapsed="false">
      <c r="A1" s="1" t="s">
        <v>0</v>
      </c>
    </row>
    <row r="2" customFormat="false" ht="23.85" hidden="false" customHeight="false" outlineLevel="0" collapsed="false">
      <c r="A2" s="2" t="s">
        <v>1</v>
      </c>
    </row>
    <row r="3" customFormat="false" ht="23.85" hidden="false" customHeight="false" outlineLevel="0" collapsed="false">
      <c r="A3" s="2" t="s">
        <v>2</v>
      </c>
    </row>
    <row r="4" customFormat="false" ht="15" hidden="false" customHeight="false" outlineLevel="0" collapsed="false">
      <c r="A4" s="2"/>
    </row>
    <row r="5" customFormat="false" ht="15" hidden="false" customHeight="false" outlineLevel="0" collapsed="false">
      <c r="A5" s="3" t="s">
        <v>3</v>
      </c>
    </row>
    <row r="6" customFormat="false" ht="15" hidden="false" customHeight="false" outlineLevel="0" collapsed="false">
      <c r="A6" s="2" t="s">
        <v>4</v>
      </c>
      <c r="B6" s="4" t="str">
        <f aca="false">COUNTIF(1_Conclusions!N5:N14,"PASS")&amp;" PASS / "&amp;COUNTIF(1_Conclusions!N5:N14,"FAIL")&amp;" FAIL of "&amp;COUNTA(1_Conclusions!B5:B14)&amp;" accounts"</f>
        <v>3 PASS / 7 FAIL of 10 accounts</v>
      </c>
    </row>
    <row r="7" customFormat="false" ht="15" hidden="false" customHeight="false" outlineLevel="0" collapsed="false">
      <c r="A7" s="2"/>
    </row>
    <row r="8" customFormat="false" ht="15" hidden="false" customHeight="false" outlineLevel="0" collapsed="false">
      <c r="A8" s="3" t="s">
        <v>5</v>
      </c>
    </row>
    <row r="9" customFormat="false" ht="57.75" hidden="false" customHeight="true" outlineLevel="0" collapsed="false">
      <c r="A9" s="2" t="s">
        <v>6</v>
      </c>
    </row>
    <row r="10" customFormat="false" ht="57.75" hidden="false" customHeight="true" outlineLevel="0" collapsed="false">
      <c r="A10" s="2" t="s">
        <v>7</v>
      </c>
    </row>
    <row r="11" customFormat="false" ht="57.75" hidden="false" customHeight="true" outlineLevel="0" collapsed="false">
      <c r="A11" s="2" t="s">
        <v>8</v>
      </c>
    </row>
    <row r="12" customFormat="false" ht="57.75" hidden="false" customHeight="true" outlineLevel="0" collapsed="false">
      <c r="A12" s="2" t="s">
        <v>9</v>
      </c>
    </row>
    <row r="13" customFormat="false" ht="57.75" hidden="false" customHeight="true" outlineLevel="0" collapsed="false">
      <c r="A13" s="2" t="s">
        <v>10</v>
      </c>
    </row>
    <row r="14" customFormat="false" ht="57.75" hidden="false" customHeight="true" outlineLevel="0" collapsed="false">
      <c r="A14" s="2" t="s">
        <v>11</v>
      </c>
    </row>
    <row r="15" customFormat="false" ht="57.75" hidden="false" customHeight="true" outlineLevel="0" collapsed="false">
      <c r="A15" s="2" t="s">
        <v>12</v>
      </c>
    </row>
    <row r="16" customFormat="false" ht="57.75" hidden="false" customHeight="true" outlineLevel="0" collapsed="false">
      <c r="A16" s="2" t="s">
        <v>13</v>
      </c>
    </row>
    <row r="17" customFormat="false" ht="15" hidden="false" customHeight="false" outlineLevel="0" collapsed="false">
      <c r="A17" s="2"/>
    </row>
    <row r="18" customFormat="false" ht="15" hidden="false" customHeight="false" outlineLevel="0" collapsed="false">
      <c r="A18" s="2"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26"/>
    <col collapsed="false" customWidth="true" hidden="false" outlineLevel="0" max="4" min="4" style="0" width="20"/>
    <col collapsed="false" customWidth="true" hidden="false" outlineLevel="0" max="5" min="5" style="0" width="52"/>
    <col collapsed="false" customWidth="true" hidden="false" outlineLevel="0" max="6" min="6" style="0" width="9"/>
    <col collapsed="false" customWidth="true" hidden="false" outlineLevel="0" max="7" min="7" style="0" width="46"/>
    <col collapsed="false" customWidth="true" hidden="false" outlineLevel="0" max="8" min="8" style="0" width="9"/>
    <col collapsed="false" customWidth="true" hidden="false" outlineLevel="0" max="9" min="9" style="0" width="40"/>
    <col collapsed="false" customWidth="true" hidden="false" outlineLevel="0" max="10" min="10" style="0" width="28"/>
    <col collapsed="false" customWidth="true" hidden="false" outlineLevel="0" max="11" min="11" style="0" width="36"/>
    <col collapsed="false" customWidth="true" hidden="false" outlineLevel="0" max="12" min="12" style="0" width="22"/>
    <col collapsed="false" customWidth="true" hidden="false" outlineLevel="0" max="13" min="13" style="0" width="40"/>
    <col collapsed="false" customWidth="true" hidden="false" outlineLevel="0" max="14" min="14" style="0" width="11"/>
    <col collapsed="false" customWidth="true" hidden="false" outlineLevel="0" max="15" min="15" style="0" width="40"/>
    <col collapsed="false" customWidth="true" hidden="false" outlineLevel="0" max="16" min="16" style="0" width="36"/>
    <col collapsed="false" customWidth="true" hidden="false" outlineLevel="0" max="17" min="17" style="0" width="30"/>
  </cols>
  <sheetData>
    <row r="1" customFormat="false" ht="16.15" hidden="false" customHeight="false" outlineLevel="0" collapsed="false">
      <c r="A1" s="5" t="s">
        <v>15</v>
      </c>
    </row>
    <row r="2" customFormat="false" ht="60" hidden="false" customHeight="true" outlineLevel="0" collapsed="false">
      <c r="A2" s="6" t="s">
        <v>16</v>
      </c>
      <c r="B2" s="6"/>
      <c r="C2" s="6"/>
      <c r="D2" s="6"/>
      <c r="E2" s="6"/>
      <c r="F2" s="6"/>
      <c r="G2" s="6"/>
      <c r="H2" s="6"/>
      <c r="I2" s="6"/>
      <c r="J2" s="6"/>
      <c r="K2" s="6"/>
      <c r="L2" s="6"/>
      <c r="M2" s="6"/>
      <c r="N2" s="6"/>
      <c r="O2" s="6"/>
      <c r="P2" s="6"/>
      <c r="Q2" s="6"/>
    </row>
    <row r="4" customFormat="false" ht="32.8" hidden="false" customHeight="false" outlineLevel="0" collapsed="false">
      <c r="A4" s="7" t="s">
        <v>17</v>
      </c>
      <c r="B4" s="7" t="s">
        <v>18</v>
      </c>
      <c r="C4" s="7" t="s">
        <v>19</v>
      </c>
      <c r="D4" s="7" t="s">
        <v>20</v>
      </c>
      <c r="E4" s="7" t="s">
        <v>21</v>
      </c>
      <c r="F4" s="7" t="s">
        <v>22</v>
      </c>
      <c r="G4" s="7" t="s">
        <v>23</v>
      </c>
      <c r="H4" s="7" t="s">
        <v>24</v>
      </c>
      <c r="I4" s="7" t="s">
        <v>25</v>
      </c>
      <c r="J4" s="7" t="s">
        <v>26</v>
      </c>
      <c r="K4" s="7" t="s">
        <v>27</v>
      </c>
      <c r="L4" s="7" t="s">
        <v>28</v>
      </c>
      <c r="M4" s="7" t="s">
        <v>29</v>
      </c>
      <c r="N4" s="7" t="s">
        <v>30</v>
      </c>
      <c r="O4" s="7" t="s">
        <v>31</v>
      </c>
      <c r="P4" s="7" t="s">
        <v>32</v>
      </c>
      <c r="Q4" s="7" t="s">
        <v>33</v>
      </c>
    </row>
    <row r="5" customFormat="false" ht="229.5" hidden="false" customHeight="true" outlineLevel="0" collapsed="false">
      <c r="A5" s="8" t="n">
        <v>1</v>
      </c>
      <c r="B5" s="8" t="s">
        <v>34</v>
      </c>
      <c r="C5" s="8" t="s">
        <v>35</v>
      </c>
      <c r="D5" s="8" t="s">
        <v>36</v>
      </c>
      <c r="E5" s="8" t="s">
        <v>37</v>
      </c>
      <c r="F5" s="9" t="s">
        <v>38</v>
      </c>
      <c r="G5" s="8" t="s">
        <v>39</v>
      </c>
      <c r="H5" s="9" t="s">
        <v>38</v>
      </c>
      <c r="I5" s="8" t="s">
        <v>40</v>
      </c>
      <c r="J5" s="8" t="s">
        <v>41</v>
      </c>
      <c r="K5" s="8" t="s">
        <v>42</v>
      </c>
      <c r="L5" s="8" t="s">
        <v>43</v>
      </c>
      <c r="M5" s="8" t="s">
        <v>44</v>
      </c>
      <c r="N5" s="9" t="s">
        <v>38</v>
      </c>
      <c r="O5" s="8" t="s">
        <v>45</v>
      </c>
      <c r="P5" s="8" t="s">
        <v>46</v>
      </c>
      <c r="Q5" s="8" t="s">
        <v>47</v>
      </c>
    </row>
    <row r="6" customFormat="false" ht="229.5" hidden="false" customHeight="true" outlineLevel="0" collapsed="false">
      <c r="A6" s="8" t="n">
        <v>2</v>
      </c>
      <c r="B6" s="8" t="s">
        <v>48</v>
      </c>
      <c r="C6" s="8" t="s">
        <v>49</v>
      </c>
      <c r="D6" s="8" t="s">
        <v>50</v>
      </c>
      <c r="E6" s="8" t="s">
        <v>51</v>
      </c>
      <c r="F6" s="9" t="s">
        <v>38</v>
      </c>
      <c r="G6" s="8" t="s">
        <v>52</v>
      </c>
      <c r="H6" s="9" t="s">
        <v>38</v>
      </c>
      <c r="I6" s="8" t="s">
        <v>53</v>
      </c>
      <c r="J6" s="8" t="s">
        <v>54</v>
      </c>
      <c r="K6" s="8" t="s">
        <v>55</v>
      </c>
      <c r="L6" s="8" t="s">
        <v>56</v>
      </c>
      <c r="M6" s="8" t="s">
        <v>57</v>
      </c>
      <c r="N6" s="9" t="s">
        <v>38</v>
      </c>
      <c r="O6" s="8" t="s">
        <v>58</v>
      </c>
      <c r="P6" s="8" t="s">
        <v>59</v>
      </c>
      <c r="Q6" s="8" t="s">
        <v>60</v>
      </c>
    </row>
    <row r="7" customFormat="false" ht="229.5" hidden="false" customHeight="true" outlineLevel="0" collapsed="false">
      <c r="A7" s="8" t="n">
        <v>3</v>
      </c>
      <c r="B7" s="8" t="s">
        <v>61</v>
      </c>
      <c r="C7" s="8" t="s">
        <v>62</v>
      </c>
      <c r="D7" s="8" t="s">
        <v>50</v>
      </c>
      <c r="E7" s="8" t="s">
        <v>63</v>
      </c>
      <c r="F7" s="9" t="s">
        <v>38</v>
      </c>
      <c r="G7" s="8" t="s">
        <v>64</v>
      </c>
      <c r="H7" s="9" t="s">
        <v>38</v>
      </c>
      <c r="I7" s="8" t="s">
        <v>65</v>
      </c>
      <c r="J7" s="8" t="s">
        <v>66</v>
      </c>
      <c r="K7" s="8" t="s">
        <v>67</v>
      </c>
      <c r="L7" s="8" t="s">
        <v>68</v>
      </c>
      <c r="M7" s="8" t="s">
        <v>69</v>
      </c>
      <c r="N7" s="9" t="s">
        <v>38</v>
      </c>
      <c r="O7" s="8" t="s">
        <v>70</v>
      </c>
      <c r="P7" s="8" t="s">
        <v>71</v>
      </c>
      <c r="Q7" s="8" t="s">
        <v>72</v>
      </c>
    </row>
    <row r="8" customFormat="false" ht="229.5" hidden="false" customHeight="true" outlineLevel="0" collapsed="false">
      <c r="A8" s="8" t="n">
        <v>4</v>
      </c>
      <c r="B8" s="8" t="s">
        <v>73</v>
      </c>
      <c r="C8" s="8" t="s">
        <v>74</v>
      </c>
      <c r="D8" s="8" t="s">
        <v>75</v>
      </c>
      <c r="E8" s="8" t="s">
        <v>76</v>
      </c>
      <c r="F8" s="9" t="s">
        <v>38</v>
      </c>
      <c r="G8" s="8" t="s">
        <v>77</v>
      </c>
      <c r="H8" s="9" t="s">
        <v>38</v>
      </c>
      <c r="I8" s="8" t="s">
        <v>78</v>
      </c>
      <c r="J8" s="8" t="s">
        <v>79</v>
      </c>
      <c r="K8" s="8" t="s">
        <v>80</v>
      </c>
      <c r="L8" s="8" t="s">
        <v>81</v>
      </c>
      <c r="M8" s="8" t="s">
        <v>82</v>
      </c>
      <c r="N8" s="9" t="s">
        <v>38</v>
      </c>
      <c r="O8" s="8" t="s">
        <v>83</v>
      </c>
      <c r="P8" s="8" t="s">
        <v>84</v>
      </c>
      <c r="Q8" s="8" t="s">
        <v>85</v>
      </c>
    </row>
    <row r="9" customFormat="false" ht="229.5" hidden="false" customHeight="true" outlineLevel="0" collapsed="false">
      <c r="A9" s="8" t="n">
        <v>5</v>
      </c>
      <c r="B9" s="8" t="s">
        <v>86</v>
      </c>
      <c r="C9" s="8" t="s">
        <v>87</v>
      </c>
      <c r="D9" s="8" t="s">
        <v>88</v>
      </c>
      <c r="E9" s="8" t="s">
        <v>89</v>
      </c>
      <c r="F9" s="9" t="s">
        <v>38</v>
      </c>
      <c r="G9" s="8" t="s">
        <v>90</v>
      </c>
      <c r="H9" s="9" t="s">
        <v>38</v>
      </c>
      <c r="I9" s="8" t="s">
        <v>91</v>
      </c>
      <c r="J9" s="8" t="s">
        <v>92</v>
      </c>
      <c r="K9" s="8" t="s">
        <v>93</v>
      </c>
      <c r="L9" s="8" t="s">
        <v>94</v>
      </c>
      <c r="M9" s="8" t="s">
        <v>95</v>
      </c>
      <c r="N9" s="9" t="s">
        <v>38</v>
      </c>
      <c r="O9" s="8" t="s">
        <v>96</v>
      </c>
      <c r="P9" s="8" t="s">
        <v>97</v>
      </c>
      <c r="Q9" s="8" t="s">
        <v>98</v>
      </c>
    </row>
    <row r="10" customFormat="false" ht="229.5" hidden="false" customHeight="true" outlineLevel="0" collapsed="false">
      <c r="A10" s="8" t="n">
        <v>6</v>
      </c>
      <c r="B10" s="8" t="s">
        <v>99</v>
      </c>
      <c r="C10" s="8" t="s">
        <v>100</v>
      </c>
      <c r="D10" s="8" t="s">
        <v>88</v>
      </c>
      <c r="E10" s="8" t="s">
        <v>101</v>
      </c>
      <c r="F10" s="10" t="s">
        <v>102</v>
      </c>
      <c r="G10" s="8" t="s">
        <v>103</v>
      </c>
      <c r="H10" s="10" t="s">
        <v>102</v>
      </c>
      <c r="I10" s="8" t="s">
        <v>104</v>
      </c>
      <c r="J10" s="8" t="s">
        <v>105</v>
      </c>
      <c r="K10" s="8" t="s">
        <v>106</v>
      </c>
      <c r="L10" s="8" t="s">
        <v>107</v>
      </c>
      <c r="M10" s="8" t="s">
        <v>108</v>
      </c>
      <c r="N10" s="10" t="s">
        <v>102</v>
      </c>
      <c r="O10" s="8" t="s">
        <v>109</v>
      </c>
      <c r="P10" s="8" t="s">
        <v>110</v>
      </c>
      <c r="Q10" s="8" t="s">
        <v>111</v>
      </c>
    </row>
    <row r="11" customFormat="false" ht="229.5" hidden="false" customHeight="true" outlineLevel="0" collapsed="false">
      <c r="A11" s="8" t="n">
        <v>7</v>
      </c>
      <c r="B11" s="8" t="s">
        <v>112</v>
      </c>
      <c r="C11" s="8" t="s">
        <v>113</v>
      </c>
      <c r="D11" s="8" t="s">
        <v>88</v>
      </c>
      <c r="E11" s="8" t="s">
        <v>114</v>
      </c>
      <c r="F11" s="10" t="s">
        <v>102</v>
      </c>
      <c r="G11" s="8" t="s">
        <v>115</v>
      </c>
      <c r="H11" s="10" t="s">
        <v>102</v>
      </c>
      <c r="I11" s="8" t="s">
        <v>116</v>
      </c>
      <c r="J11" s="8" t="s">
        <v>117</v>
      </c>
      <c r="K11" s="8" t="s">
        <v>118</v>
      </c>
      <c r="L11" s="8" t="s">
        <v>119</v>
      </c>
      <c r="M11" s="8" t="s">
        <v>120</v>
      </c>
      <c r="N11" s="10" t="s">
        <v>102</v>
      </c>
      <c r="O11" s="8" t="s">
        <v>121</v>
      </c>
      <c r="P11" s="8" t="s">
        <v>122</v>
      </c>
      <c r="Q11" s="8" t="s">
        <v>123</v>
      </c>
    </row>
    <row r="12" customFormat="false" ht="229.5" hidden="false" customHeight="true" outlineLevel="0" collapsed="false">
      <c r="A12" s="8" t="n">
        <v>8</v>
      </c>
      <c r="B12" s="8" t="s">
        <v>124</v>
      </c>
      <c r="C12" s="8" t="s">
        <v>125</v>
      </c>
      <c r="D12" s="8" t="s">
        <v>88</v>
      </c>
      <c r="E12" s="8" t="s">
        <v>126</v>
      </c>
      <c r="F12" s="10" t="s">
        <v>102</v>
      </c>
      <c r="G12" s="8" t="s">
        <v>127</v>
      </c>
      <c r="H12" s="10" t="s">
        <v>102</v>
      </c>
      <c r="I12" s="8" t="s">
        <v>116</v>
      </c>
      <c r="J12" s="8" t="s">
        <v>128</v>
      </c>
      <c r="K12" s="8" t="s">
        <v>129</v>
      </c>
      <c r="L12" s="8" t="s">
        <v>119</v>
      </c>
      <c r="M12" s="8" t="s">
        <v>120</v>
      </c>
      <c r="N12" s="10" t="s">
        <v>102</v>
      </c>
      <c r="O12" s="8" t="s">
        <v>121</v>
      </c>
      <c r="P12" s="8" t="s">
        <v>122</v>
      </c>
      <c r="Q12" s="8" t="s">
        <v>123</v>
      </c>
    </row>
    <row r="13" customFormat="false" ht="229.5" hidden="false" customHeight="true" outlineLevel="0" collapsed="false">
      <c r="A13" s="8" t="n">
        <v>9</v>
      </c>
      <c r="B13" s="8" t="s">
        <v>130</v>
      </c>
      <c r="C13" s="8" t="s">
        <v>131</v>
      </c>
      <c r="D13" s="8" t="s">
        <v>88</v>
      </c>
      <c r="E13" s="8" t="s">
        <v>132</v>
      </c>
      <c r="F13" s="10" t="s">
        <v>102</v>
      </c>
      <c r="G13" s="8" t="s">
        <v>133</v>
      </c>
      <c r="H13" s="9" t="s">
        <v>38</v>
      </c>
      <c r="I13" s="8" t="s">
        <v>134</v>
      </c>
      <c r="J13" s="8" t="s">
        <v>135</v>
      </c>
      <c r="K13" s="8" t="s">
        <v>136</v>
      </c>
      <c r="L13" s="8" t="s">
        <v>137</v>
      </c>
      <c r="M13" s="8" t="s">
        <v>138</v>
      </c>
      <c r="N13" s="9" t="s">
        <v>38</v>
      </c>
      <c r="O13" s="8" t="s">
        <v>139</v>
      </c>
      <c r="P13" s="8" t="s">
        <v>140</v>
      </c>
      <c r="Q13" s="8" t="s">
        <v>141</v>
      </c>
    </row>
    <row r="14" customFormat="false" ht="229.5" hidden="false" customHeight="true" outlineLevel="0" collapsed="false">
      <c r="A14" s="8" t="n">
        <v>10</v>
      </c>
      <c r="B14" s="8" t="s">
        <v>142</v>
      </c>
      <c r="C14" s="8" t="s">
        <v>143</v>
      </c>
      <c r="D14" s="8" t="s">
        <v>88</v>
      </c>
      <c r="E14" s="8" t="s">
        <v>144</v>
      </c>
      <c r="F14" s="10" t="s">
        <v>102</v>
      </c>
      <c r="G14" s="8" t="s">
        <v>145</v>
      </c>
      <c r="H14" s="9" t="s">
        <v>38</v>
      </c>
      <c r="I14" s="8" t="s">
        <v>146</v>
      </c>
      <c r="J14" s="8" t="s">
        <v>147</v>
      </c>
      <c r="K14" s="8" t="s">
        <v>148</v>
      </c>
      <c r="L14" s="8" t="s">
        <v>149</v>
      </c>
      <c r="M14" s="8" t="s">
        <v>150</v>
      </c>
      <c r="N14" s="9" t="s">
        <v>38</v>
      </c>
      <c r="O14" s="8" t="s">
        <v>151</v>
      </c>
      <c r="P14" s="8" t="s">
        <v>152</v>
      </c>
      <c r="Q14" s="8" t="s">
        <v>153</v>
      </c>
    </row>
  </sheetData>
  <mergeCells count="1">
    <mergeCell ref="A2:Q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4" min="3" style="0" width="13"/>
    <col collapsed="false" customWidth="true" hidden="false" outlineLevel="0" max="5" min="5" style="0" width="11"/>
    <col collapsed="false" customWidth="true" hidden="false" outlineLevel="0" max="6" min="6" style="0" width="13"/>
    <col collapsed="false" customWidth="true" hidden="false" outlineLevel="0" max="7" min="7" style="0" width="16"/>
    <col collapsed="false" customWidth="true" hidden="false" outlineLevel="0" max="8" min="8" style="0" width="18"/>
    <col collapsed="false" customWidth="true" hidden="false" outlineLevel="0" max="9" min="9" style="0" width="13"/>
    <col collapsed="false" customWidth="true" hidden="false" outlineLevel="0" max="11" min="10" style="0" width="16"/>
    <col collapsed="false" customWidth="true" hidden="false" outlineLevel="0" max="12" min="12" style="0" width="11"/>
  </cols>
  <sheetData>
    <row r="1" customFormat="false" ht="16.15" hidden="false" customHeight="false" outlineLevel="0" collapsed="false">
      <c r="A1" s="5" t="s">
        <v>154</v>
      </c>
    </row>
    <row r="2" customFormat="false" ht="60" hidden="false" customHeight="true" outlineLevel="0" collapsed="false">
      <c r="A2" s="6" t="s">
        <v>155</v>
      </c>
      <c r="B2" s="6"/>
      <c r="C2" s="6"/>
      <c r="D2" s="6"/>
      <c r="E2" s="6"/>
      <c r="F2" s="6"/>
      <c r="G2" s="6"/>
      <c r="H2" s="6"/>
      <c r="I2" s="6"/>
      <c r="J2" s="6"/>
      <c r="K2" s="6"/>
      <c r="L2" s="6"/>
    </row>
    <row r="4" customFormat="false" ht="32.8" hidden="false" customHeight="false" outlineLevel="0" collapsed="false">
      <c r="A4" s="7" t="s">
        <v>18</v>
      </c>
      <c r="B4" s="7" t="s">
        <v>156</v>
      </c>
      <c r="C4" s="7" t="s">
        <v>157</v>
      </c>
      <c r="D4" s="7" t="s">
        <v>158</v>
      </c>
      <c r="E4" s="7" t="s">
        <v>159</v>
      </c>
      <c r="F4" s="7" t="s">
        <v>160</v>
      </c>
      <c r="G4" s="7" t="s">
        <v>161</v>
      </c>
      <c r="H4" s="7" t="s">
        <v>162</v>
      </c>
      <c r="I4" s="7" t="s">
        <v>163</v>
      </c>
      <c r="J4" s="7" t="s">
        <v>164</v>
      </c>
      <c r="K4" s="7" t="s">
        <v>165</v>
      </c>
      <c r="L4" s="7" t="s">
        <v>166</v>
      </c>
    </row>
    <row r="5" customFormat="false" ht="15" hidden="false" customHeight="false" outlineLevel="0" collapsed="false">
      <c r="A5" s="8" t="s">
        <v>34</v>
      </c>
      <c r="B5" s="8" t="s">
        <v>167</v>
      </c>
      <c r="C5" s="11" t="n">
        <v>45897</v>
      </c>
      <c r="D5" s="11" t="n">
        <v>45902</v>
      </c>
      <c r="E5" s="8" t="n">
        <f aca="false">NETWORKDAYS(C5+1,D5,Holidays!$A$4:$A$30)</f>
        <v>2</v>
      </c>
      <c r="F5" s="11" t="n">
        <f aca="false">WORKDAY(C5,30,Holidays!$A$4:$A$30)</f>
        <v>45940</v>
      </c>
      <c r="G5" s="8" t="str">
        <f aca="false">IF(D5&lt;=F5,"Yes","No - late")</f>
        <v>Yes</v>
      </c>
      <c r="H5" s="8" t="s">
        <v>168</v>
      </c>
      <c r="I5" s="8" t="str">
        <f aca="false">IF(ISNUMBER(H5),NETWORKDAYS(C5+1,H5,Holidays!$A$4:$A$30),"n/a")</f>
        <v>n/a</v>
      </c>
      <c r="J5" s="8" t="str">
        <f aca="false">IF(ISNUMBER(H5),IF(H5&lt;=F5,"Yes - inside SLA window","No"),"n/a")</f>
        <v>n/a</v>
      </c>
      <c r="K5" s="8" t="s">
        <v>169</v>
      </c>
      <c r="L5" s="8" t="s">
        <v>170</v>
      </c>
    </row>
    <row r="6" customFormat="false" ht="22.35" hidden="false" customHeight="false" outlineLevel="0" collapsed="false">
      <c r="A6" s="8" t="s">
        <v>34</v>
      </c>
      <c r="B6" s="8" t="s">
        <v>171</v>
      </c>
      <c r="C6" s="11" t="n">
        <v>45897</v>
      </c>
      <c r="D6" s="11" t="n">
        <v>45902</v>
      </c>
      <c r="E6" s="8" t="n">
        <f aca="false">NETWORKDAYS(C6+1,D6,Holidays!$A$4:$A$30)</f>
        <v>2</v>
      </c>
      <c r="F6" s="11" t="n">
        <f aca="false">WORKDAY(C6,30,Holidays!$A$4:$A$30)</f>
        <v>45940</v>
      </c>
      <c r="G6" s="8" t="str">
        <f aca="false">IF(D6&lt;=F6,"Yes","No - late")</f>
        <v>Yes</v>
      </c>
      <c r="H6" s="11" t="n">
        <v>45910</v>
      </c>
      <c r="I6" s="8" t="n">
        <f aca="false">IF(ISNUMBER(H6),NETWORKDAYS(C6+1,H6,Holidays!$A$4:$A$30),"n/a")</f>
        <v>8</v>
      </c>
      <c r="J6" s="8" t="str">
        <f aca="false">IF(ISNUMBER(H6),IF(H6&lt;=F6,"Yes - inside SLA window","No"),"n/a")</f>
        <v>Yes - inside SLA window</v>
      </c>
      <c r="K6" s="8" t="s">
        <v>169</v>
      </c>
      <c r="L6" s="8" t="s">
        <v>170</v>
      </c>
    </row>
    <row r="7" customFormat="false" ht="15" hidden="false" customHeight="false" outlineLevel="0" collapsed="false">
      <c r="A7" s="8" t="s">
        <v>48</v>
      </c>
      <c r="B7" s="8" t="s">
        <v>167</v>
      </c>
      <c r="C7" s="11" t="n">
        <v>45897</v>
      </c>
      <c r="D7" s="11" t="n">
        <v>45902</v>
      </c>
      <c r="E7" s="8" t="n">
        <f aca="false">NETWORKDAYS(C7+1,D7,Holidays!$A$4:$A$30)</f>
        <v>2</v>
      </c>
      <c r="F7" s="11" t="n">
        <f aca="false">WORKDAY(C7,30,Holidays!$A$4:$A$30)</f>
        <v>45940</v>
      </c>
      <c r="G7" s="8" t="str">
        <f aca="false">IF(D7&lt;=F7,"Yes","No - late")</f>
        <v>Yes</v>
      </c>
      <c r="H7" s="8" t="s">
        <v>168</v>
      </c>
      <c r="I7" s="8" t="str">
        <f aca="false">IF(ISNUMBER(H7),NETWORKDAYS(C7+1,H7,Holidays!$A$4:$A$30),"n/a")</f>
        <v>n/a</v>
      </c>
      <c r="J7" s="8" t="str">
        <f aca="false">IF(ISNUMBER(H7),IF(H7&lt;=F7,"Yes - inside SLA window","No"),"n/a")</f>
        <v>n/a</v>
      </c>
      <c r="K7" s="8" t="s">
        <v>169</v>
      </c>
      <c r="L7" s="8" t="s">
        <v>170</v>
      </c>
    </row>
    <row r="8" customFormat="false" ht="15" hidden="false" customHeight="false" outlineLevel="0" collapsed="false">
      <c r="A8" s="8" t="s">
        <v>61</v>
      </c>
      <c r="B8" s="8" t="s">
        <v>167</v>
      </c>
      <c r="C8" s="11" t="n">
        <v>45897</v>
      </c>
      <c r="D8" s="11" t="n">
        <v>45908</v>
      </c>
      <c r="E8" s="8" t="n">
        <f aca="false">NETWORKDAYS(C8+1,D8,Holidays!$A$4:$A$30)</f>
        <v>6</v>
      </c>
      <c r="F8" s="11" t="n">
        <f aca="false">WORKDAY(C8,30,Holidays!$A$4:$A$30)</f>
        <v>45940</v>
      </c>
      <c r="G8" s="8" t="str">
        <f aca="false">IF(D8&lt;=F8,"Yes","No - late")</f>
        <v>Yes</v>
      </c>
      <c r="H8" s="8" t="s">
        <v>168</v>
      </c>
      <c r="I8" s="8" t="str">
        <f aca="false">IF(ISNUMBER(H8),NETWORKDAYS(C8+1,H8,Holidays!$A$4:$A$30),"n/a")</f>
        <v>n/a</v>
      </c>
      <c r="J8" s="8" t="str">
        <f aca="false">IF(ISNUMBER(H8),IF(H8&lt;=F8,"Yes - inside SLA window","No"),"n/a")</f>
        <v>n/a</v>
      </c>
      <c r="K8" s="8" t="s">
        <v>169</v>
      </c>
      <c r="L8" s="8" t="s">
        <v>170</v>
      </c>
    </row>
    <row r="9" customFormat="false" ht="15" hidden="false" customHeight="false" outlineLevel="0" collapsed="false">
      <c r="A9" s="8" t="s">
        <v>73</v>
      </c>
      <c r="B9" s="8" t="s">
        <v>167</v>
      </c>
      <c r="C9" s="11" t="n">
        <v>45897</v>
      </c>
      <c r="D9" s="11" t="n">
        <v>45908</v>
      </c>
      <c r="E9" s="8" t="n">
        <f aca="false">NETWORKDAYS(C9+1,D9,Holidays!$A$4:$A$30)</f>
        <v>6</v>
      </c>
      <c r="F9" s="11" t="n">
        <f aca="false">WORKDAY(C9,30,Holidays!$A$4:$A$30)</f>
        <v>45940</v>
      </c>
      <c r="G9" s="8" t="str">
        <f aca="false">IF(D9&lt;=F9,"Yes","No - late")</f>
        <v>Yes</v>
      </c>
      <c r="H9" s="8" t="s">
        <v>168</v>
      </c>
      <c r="I9" s="8" t="str">
        <f aca="false">IF(ISNUMBER(H9),NETWORKDAYS(C9+1,H9,Holidays!$A$4:$A$30),"n/a")</f>
        <v>n/a</v>
      </c>
      <c r="J9" s="8" t="str">
        <f aca="false">IF(ISNUMBER(H9),IF(H9&lt;=F9,"Yes - inside SLA window","No"),"n/a")</f>
        <v>n/a</v>
      </c>
      <c r="K9" s="8" t="s">
        <v>169</v>
      </c>
      <c r="L9" s="8" t="s">
        <v>170</v>
      </c>
    </row>
    <row r="10" customFormat="false" ht="22.35" hidden="false" customHeight="false" outlineLevel="0" collapsed="false">
      <c r="A10" s="8" t="s">
        <v>73</v>
      </c>
      <c r="B10" s="8" t="s">
        <v>171</v>
      </c>
      <c r="C10" s="11" t="n">
        <v>45897</v>
      </c>
      <c r="D10" s="11" t="n">
        <v>45908</v>
      </c>
      <c r="E10" s="8" t="n">
        <f aca="false">NETWORKDAYS(C10+1,D10,Holidays!$A$4:$A$30)</f>
        <v>6</v>
      </c>
      <c r="F10" s="11" t="n">
        <f aca="false">WORKDAY(C10,30,Holidays!$A$4:$A$30)</f>
        <v>45940</v>
      </c>
      <c r="G10" s="8" t="str">
        <f aca="false">IF(D10&lt;=F10,"Yes","No - late")</f>
        <v>Yes</v>
      </c>
      <c r="H10" s="11" t="n">
        <v>45910</v>
      </c>
      <c r="I10" s="8" t="n">
        <f aca="false">IF(ISNUMBER(H10),NETWORKDAYS(C10+1,H10,Holidays!$A$4:$A$30),"n/a")</f>
        <v>8</v>
      </c>
      <c r="J10" s="8" t="str">
        <f aca="false">IF(ISNUMBER(H10),IF(H10&lt;=F10,"Yes - inside SLA window","No"),"n/a")</f>
        <v>Yes - inside SLA window</v>
      </c>
      <c r="K10" s="8" t="s">
        <v>169</v>
      </c>
      <c r="L10" s="8" t="s">
        <v>170</v>
      </c>
    </row>
    <row r="12" customFormat="false" ht="54.75" hidden="false" customHeight="true" outlineLevel="0" collapsed="false">
      <c r="A12" s="12" t="s">
        <v>172</v>
      </c>
      <c r="B12" s="12"/>
      <c r="C12" s="12"/>
      <c r="D12" s="12"/>
      <c r="E12" s="12"/>
      <c r="F12" s="12"/>
      <c r="G12" s="12"/>
      <c r="H12" s="12"/>
      <c r="I12" s="12"/>
      <c r="J12" s="12"/>
      <c r="K12" s="12"/>
      <c r="L12" s="12"/>
    </row>
  </sheetData>
  <mergeCells count="2">
    <mergeCell ref="A2:L2"/>
    <mergeCell ref="A12:L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40"/>
    <col collapsed="false" customWidth="true" hidden="false" outlineLevel="0" max="4" min="4" style="0" width="70"/>
    <col collapsed="false" customWidth="true" hidden="false" outlineLevel="0" max="5" min="5" style="0" width="55"/>
    <col collapsed="false" customWidth="true" hidden="false" outlineLevel="0" max="6" min="6" style="0" width="9"/>
  </cols>
  <sheetData>
    <row r="1" customFormat="false" ht="16.15" hidden="false" customHeight="false" outlineLevel="0" collapsed="false">
      <c r="A1" s="5" t="s">
        <v>173</v>
      </c>
    </row>
    <row r="2" customFormat="false" ht="60" hidden="false" customHeight="true" outlineLevel="0" collapsed="false">
      <c r="A2" s="6" t="s">
        <v>174</v>
      </c>
      <c r="B2" s="6"/>
      <c r="C2" s="6"/>
      <c r="D2" s="6"/>
      <c r="E2" s="6"/>
      <c r="F2" s="6"/>
    </row>
    <row r="4" customFormat="false" ht="15" hidden="false" customHeight="false" outlineLevel="0" collapsed="false">
      <c r="A4" s="7" t="s">
        <v>17</v>
      </c>
      <c r="B4" s="7" t="s">
        <v>175</v>
      </c>
      <c r="C4" s="7" t="s">
        <v>176</v>
      </c>
      <c r="D4" s="7" t="s">
        <v>177</v>
      </c>
      <c r="E4" s="7" t="s">
        <v>178</v>
      </c>
      <c r="F4" s="7" t="s">
        <v>179</v>
      </c>
    </row>
    <row r="5" customFormat="false" ht="32.8" hidden="false" customHeight="false" outlineLevel="0" collapsed="false">
      <c r="A5" s="8" t="n">
        <v>1</v>
      </c>
      <c r="B5" s="8" t="s">
        <v>180</v>
      </c>
      <c r="C5" s="8" t="s">
        <v>181</v>
      </c>
      <c r="D5" s="8" t="s">
        <v>182</v>
      </c>
      <c r="E5" s="8" t="s">
        <v>183</v>
      </c>
      <c r="F5" s="8" t="s">
        <v>184</v>
      </c>
    </row>
    <row r="6" customFormat="false" ht="43.25" hidden="false" customHeight="false" outlineLevel="0" collapsed="false">
      <c r="A6" s="8" t="n">
        <v>2</v>
      </c>
      <c r="B6" s="8" t="s">
        <v>185</v>
      </c>
      <c r="C6" s="8" t="s">
        <v>186</v>
      </c>
      <c r="D6" s="8" t="s">
        <v>187</v>
      </c>
      <c r="E6" s="8" t="s">
        <v>188</v>
      </c>
      <c r="F6" s="8" t="s">
        <v>184</v>
      </c>
    </row>
    <row r="7" customFormat="false" ht="32.8" hidden="false" customHeight="false" outlineLevel="0" collapsed="false">
      <c r="A7" s="8" t="n">
        <v>3</v>
      </c>
      <c r="B7" s="8" t="s">
        <v>189</v>
      </c>
      <c r="C7" s="8" t="s">
        <v>190</v>
      </c>
      <c r="D7" s="8" t="s">
        <v>191</v>
      </c>
      <c r="E7" s="8" t="s">
        <v>192</v>
      </c>
      <c r="F7" s="8" t="s">
        <v>193</v>
      </c>
    </row>
    <row r="8" customFormat="false" ht="43.25" hidden="false" customHeight="false" outlineLevel="0" collapsed="false">
      <c r="A8" s="8" t="n">
        <v>4</v>
      </c>
      <c r="B8" s="8" t="s">
        <v>194</v>
      </c>
      <c r="C8" s="8" t="s">
        <v>195</v>
      </c>
      <c r="D8" s="8" t="s">
        <v>196</v>
      </c>
      <c r="E8" s="8" t="s">
        <v>197</v>
      </c>
      <c r="F8" s="8" t="s">
        <v>184</v>
      </c>
    </row>
    <row r="9" customFormat="false" ht="32.8" hidden="false" customHeight="false" outlineLevel="0" collapsed="false">
      <c r="A9" s="8" t="n">
        <v>5</v>
      </c>
      <c r="B9" s="8" t="s">
        <v>198</v>
      </c>
      <c r="C9" s="8" t="s">
        <v>199</v>
      </c>
      <c r="D9" s="8" t="s">
        <v>200</v>
      </c>
      <c r="E9" s="8" t="s">
        <v>201</v>
      </c>
      <c r="F9" s="8" t="s">
        <v>202</v>
      </c>
    </row>
    <row r="10" customFormat="false" ht="32.8" hidden="false" customHeight="false" outlineLevel="0" collapsed="false">
      <c r="A10" s="8" t="n">
        <v>6</v>
      </c>
      <c r="B10" s="8" t="s">
        <v>203</v>
      </c>
      <c r="C10" s="8" t="s">
        <v>204</v>
      </c>
      <c r="D10" s="8" t="s">
        <v>205</v>
      </c>
      <c r="E10" s="8" t="s">
        <v>206</v>
      </c>
      <c r="F10" s="8" t="s">
        <v>202</v>
      </c>
    </row>
    <row r="11" customFormat="false" ht="22.35" hidden="false" customHeight="false" outlineLevel="0" collapsed="false">
      <c r="A11" s="8" t="n">
        <v>7</v>
      </c>
      <c r="B11" s="8" t="s">
        <v>207</v>
      </c>
      <c r="C11" s="8" t="s">
        <v>208</v>
      </c>
      <c r="D11" s="8" t="s">
        <v>209</v>
      </c>
      <c r="E11" s="8" t="s">
        <v>210</v>
      </c>
      <c r="F11" s="8" t="s">
        <v>202</v>
      </c>
    </row>
    <row r="12" customFormat="false" ht="22.35" hidden="false" customHeight="false" outlineLevel="0" collapsed="false">
      <c r="A12" s="8" t="n">
        <v>8</v>
      </c>
      <c r="B12" s="8" t="s">
        <v>211</v>
      </c>
      <c r="C12" s="8" t="s">
        <v>212</v>
      </c>
      <c r="D12" s="8" t="s">
        <v>213</v>
      </c>
      <c r="E12" s="8" t="s">
        <v>214</v>
      </c>
      <c r="F12" s="8" t="s">
        <v>202</v>
      </c>
    </row>
    <row r="13" customFormat="false" ht="32.8" hidden="false" customHeight="false" outlineLevel="0" collapsed="false">
      <c r="A13" s="8" t="n">
        <v>9</v>
      </c>
      <c r="B13" s="8" t="s">
        <v>215</v>
      </c>
      <c r="C13" s="8" t="s">
        <v>216</v>
      </c>
      <c r="D13" s="8" t="s">
        <v>217</v>
      </c>
      <c r="E13" s="8" t="s">
        <v>218</v>
      </c>
      <c r="F13" s="8" t="s">
        <v>193</v>
      </c>
    </row>
    <row r="14" customFormat="false" ht="43.25" hidden="false" customHeight="false" outlineLevel="0" collapsed="false">
      <c r="A14" s="8" t="n">
        <v>10</v>
      </c>
      <c r="B14" s="8" t="s">
        <v>219</v>
      </c>
      <c r="C14" s="8" t="s">
        <v>220</v>
      </c>
      <c r="D14" s="8" t="s">
        <v>221</v>
      </c>
      <c r="E14" s="8" t="s">
        <v>222</v>
      </c>
      <c r="F14" s="8" t="s">
        <v>184</v>
      </c>
    </row>
    <row r="15" customFormat="false" ht="32.8" hidden="false" customHeight="false" outlineLevel="0" collapsed="false">
      <c r="A15" s="8" t="n">
        <v>11</v>
      </c>
      <c r="B15" s="8" t="s">
        <v>223</v>
      </c>
      <c r="C15" s="8" t="s">
        <v>224</v>
      </c>
      <c r="D15" s="8" t="s">
        <v>225</v>
      </c>
      <c r="E15" s="8" t="s">
        <v>226</v>
      </c>
      <c r="F15" s="8" t="s">
        <v>193</v>
      </c>
    </row>
    <row r="16" customFormat="false" ht="22.35" hidden="false" customHeight="false" outlineLevel="0" collapsed="false">
      <c r="A16" s="8" t="n">
        <v>12</v>
      </c>
      <c r="B16" s="8" t="s">
        <v>227</v>
      </c>
      <c r="C16" s="8" t="s">
        <v>228</v>
      </c>
      <c r="D16" s="8" t="s">
        <v>229</v>
      </c>
      <c r="E16" s="8" t="s">
        <v>230</v>
      </c>
      <c r="F16" s="8" t="s">
        <v>202</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3" min="3" style="0" width="9"/>
    <col collapsed="false" customWidth="true" hidden="false" outlineLevel="0" max="4" min="4" style="0" width="14"/>
    <col collapsed="false" customWidth="true" hidden="false" outlineLevel="0" max="5" min="5" style="0" width="7"/>
    <col collapsed="false" customWidth="true" hidden="false" outlineLevel="0" max="6" min="6" style="0" width="19"/>
    <col collapsed="false" customWidth="true" hidden="false" outlineLevel="0" max="7" min="7" style="0" width="11"/>
    <col collapsed="false" customWidth="true" hidden="false" outlineLevel="0" max="8" min="8" style="0" width="16"/>
    <col collapsed="false" customWidth="true" hidden="false" outlineLevel="0" max="9" min="9" style="0" width="30"/>
    <col collapsed="false" customWidth="true" hidden="false" outlineLevel="0" max="10" min="10" style="0" width="28"/>
    <col collapsed="false" customWidth="true" hidden="false" outlineLevel="0" max="11" min="11" style="0" width="22"/>
    <col collapsed="false" customWidth="true" hidden="false" outlineLevel="0" max="13" min="12" style="0" width="9"/>
    <col collapsed="false" customWidth="true" hidden="false" outlineLevel="0" max="14" min="14" style="0" width="12"/>
    <col collapsed="false" customWidth="true" hidden="false" outlineLevel="0" max="15" min="15" style="0" width="45"/>
  </cols>
  <sheetData>
    <row r="1" customFormat="false" ht="16.15" hidden="false" customHeight="false" outlineLevel="0" collapsed="false">
      <c r="A1" s="5" t="s">
        <v>231</v>
      </c>
    </row>
    <row r="2" customFormat="false" ht="60" hidden="false" customHeight="true" outlineLevel="0" collapsed="false">
      <c r="A2" s="6" t="s">
        <v>232</v>
      </c>
      <c r="B2" s="6"/>
      <c r="C2" s="6"/>
      <c r="D2" s="6"/>
      <c r="E2" s="6"/>
      <c r="F2" s="6"/>
      <c r="G2" s="6"/>
      <c r="H2" s="6"/>
      <c r="I2" s="6"/>
      <c r="J2" s="6"/>
      <c r="K2" s="6"/>
      <c r="L2" s="6"/>
      <c r="M2" s="6"/>
      <c r="N2" s="6"/>
      <c r="O2" s="6"/>
    </row>
    <row r="4" customFormat="false" ht="32.8" hidden="false" customHeight="false" outlineLevel="0" collapsed="false">
      <c r="A4" s="7" t="s">
        <v>233</v>
      </c>
      <c r="B4" s="7" t="s">
        <v>234</v>
      </c>
      <c r="C4" s="7" t="s">
        <v>235</v>
      </c>
      <c r="D4" s="7" t="s">
        <v>236</v>
      </c>
      <c r="E4" s="7" t="s">
        <v>237</v>
      </c>
      <c r="F4" s="7" t="s">
        <v>238</v>
      </c>
      <c r="G4" s="7" t="s">
        <v>239</v>
      </c>
      <c r="H4" s="7" t="s">
        <v>240</v>
      </c>
      <c r="I4" s="7" t="s">
        <v>241</v>
      </c>
      <c r="J4" s="7" t="s">
        <v>242</v>
      </c>
      <c r="K4" s="7" t="s">
        <v>243</v>
      </c>
      <c r="L4" s="7" t="s">
        <v>244</v>
      </c>
      <c r="M4" s="7" t="s">
        <v>245</v>
      </c>
      <c r="N4" s="7" t="s">
        <v>246</v>
      </c>
      <c r="O4" s="7" t="s">
        <v>247</v>
      </c>
    </row>
    <row r="5" customFormat="false" ht="69.75" hidden="false" customHeight="true" outlineLevel="0" collapsed="false">
      <c r="A5" s="8" t="s">
        <v>86</v>
      </c>
      <c r="B5" s="8" t="s">
        <v>248</v>
      </c>
      <c r="C5" s="8" t="s">
        <v>249</v>
      </c>
      <c r="D5" s="8" t="s">
        <v>250</v>
      </c>
      <c r="E5" s="8" t="s">
        <v>251</v>
      </c>
      <c r="F5" s="8" t="s">
        <v>252</v>
      </c>
      <c r="G5" s="8" t="s">
        <v>253</v>
      </c>
      <c r="H5" s="8" t="s">
        <v>254</v>
      </c>
      <c r="I5" s="8" t="s">
        <v>255</v>
      </c>
      <c r="J5" s="8" t="s">
        <v>256</v>
      </c>
      <c r="K5" s="8" t="s">
        <v>257</v>
      </c>
      <c r="L5" s="8" t="s">
        <v>169</v>
      </c>
      <c r="M5" s="8" t="s">
        <v>169</v>
      </c>
      <c r="N5" s="8" t="s">
        <v>169</v>
      </c>
      <c r="O5" s="8" t="s">
        <v>258</v>
      </c>
    </row>
    <row r="6" customFormat="false" ht="69.75" hidden="false" customHeight="true" outlineLevel="0" collapsed="false">
      <c r="A6" s="8" t="s">
        <v>99</v>
      </c>
      <c r="B6" s="8" t="s">
        <v>259</v>
      </c>
      <c r="C6" s="8" t="s">
        <v>260</v>
      </c>
      <c r="D6" s="8" t="s">
        <v>261</v>
      </c>
      <c r="E6" s="8" t="s">
        <v>251</v>
      </c>
      <c r="F6" s="8" t="s">
        <v>252</v>
      </c>
      <c r="G6" s="8" t="s">
        <v>262</v>
      </c>
      <c r="H6" s="8" t="s">
        <v>263</v>
      </c>
      <c r="I6" s="8" t="s">
        <v>264</v>
      </c>
      <c r="J6" s="8" t="s">
        <v>265</v>
      </c>
      <c r="K6" s="8" t="s">
        <v>266</v>
      </c>
      <c r="L6" s="8" t="s">
        <v>169</v>
      </c>
      <c r="M6" s="8" t="s">
        <v>169</v>
      </c>
      <c r="N6" s="8" t="s">
        <v>267</v>
      </c>
      <c r="O6" s="8" t="s">
        <v>268</v>
      </c>
    </row>
    <row r="7" customFormat="false" ht="69.75" hidden="false" customHeight="true" outlineLevel="0" collapsed="false">
      <c r="A7" s="8" t="s">
        <v>112</v>
      </c>
      <c r="B7" s="8" t="s">
        <v>269</v>
      </c>
      <c r="C7" s="8" t="s">
        <v>270</v>
      </c>
      <c r="D7" s="8" t="s">
        <v>271</v>
      </c>
      <c r="E7" s="8" t="s">
        <v>251</v>
      </c>
      <c r="F7" s="8" t="s">
        <v>252</v>
      </c>
      <c r="G7" s="8" t="s">
        <v>272</v>
      </c>
      <c r="H7" s="8" t="s">
        <v>273</v>
      </c>
      <c r="I7" s="8" t="s">
        <v>274</v>
      </c>
      <c r="J7" s="8" t="s">
        <v>275</v>
      </c>
      <c r="K7" s="8" t="s">
        <v>276</v>
      </c>
      <c r="L7" s="8" t="s">
        <v>169</v>
      </c>
      <c r="M7" s="8" t="s">
        <v>169</v>
      </c>
      <c r="N7" s="8" t="s">
        <v>169</v>
      </c>
      <c r="O7" s="8"/>
    </row>
    <row r="8" customFormat="false" ht="69.75" hidden="false" customHeight="true" outlineLevel="0" collapsed="false">
      <c r="A8" s="8" t="s">
        <v>124</v>
      </c>
      <c r="B8" s="8" t="s">
        <v>277</v>
      </c>
      <c r="C8" s="8" t="s">
        <v>278</v>
      </c>
      <c r="D8" s="8" t="s">
        <v>279</v>
      </c>
      <c r="E8" s="8" t="s">
        <v>251</v>
      </c>
      <c r="F8" s="8" t="s">
        <v>252</v>
      </c>
      <c r="G8" s="8" t="s">
        <v>280</v>
      </c>
      <c r="H8" s="8" t="s">
        <v>281</v>
      </c>
      <c r="I8" s="8" t="s">
        <v>282</v>
      </c>
      <c r="J8" s="8" t="s">
        <v>283</v>
      </c>
      <c r="K8" s="8" t="s">
        <v>284</v>
      </c>
      <c r="L8" s="8" t="s">
        <v>169</v>
      </c>
      <c r="M8" s="8" t="s">
        <v>169</v>
      </c>
      <c r="N8" s="8" t="s">
        <v>169</v>
      </c>
      <c r="O8" s="8"/>
    </row>
    <row r="9" customFormat="false" ht="69.75" hidden="false" customHeight="true" outlineLevel="0" collapsed="false">
      <c r="A9" s="8" t="s">
        <v>130</v>
      </c>
      <c r="B9" s="8" t="s">
        <v>285</v>
      </c>
      <c r="C9" s="8" t="s">
        <v>286</v>
      </c>
      <c r="D9" s="8" t="s">
        <v>287</v>
      </c>
      <c r="E9" s="8" t="s">
        <v>251</v>
      </c>
      <c r="F9" s="8" t="s">
        <v>288</v>
      </c>
      <c r="G9" s="8" t="s">
        <v>289</v>
      </c>
      <c r="H9" s="8" t="s">
        <v>290</v>
      </c>
      <c r="I9" s="8" t="s">
        <v>291</v>
      </c>
      <c r="J9" s="8" t="s">
        <v>292</v>
      </c>
      <c r="K9" s="8" t="s">
        <v>293</v>
      </c>
      <c r="L9" s="8" t="s">
        <v>169</v>
      </c>
      <c r="M9" s="8" t="s">
        <v>169</v>
      </c>
      <c r="N9" s="8" t="s">
        <v>169</v>
      </c>
      <c r="O9" s="8" t="s">
        <v>294</v>
      </c>
    </row>
    <row r="10" customFormat="false" ht="69.75" hidden="false" customHeight="true" outlineLevel="0" collapsed="false">
      <c r="A10" s="8" t="s">
        <v>142</v>
      </c>
      <c r="B10" s="8" t="s">
        <v>295</v>
      </c>
      <c r="C10" s="8" t="s">
        <v>296</v>
      </c>
      <c r="D10" s="8" t="s">
        <v>297</v>
      </c>
      <c r="E10" s="8" t="s">
        <v>251</v>
      </c>
      <c r="F10" s="8" t="s">
        <v>288</v>
      </c>
      <c r="G10" s="8" t="s">
        <v>298</v>
      </c>
      <c r="H10" s="8" t="s">
        <v>299</v>
      </c>
      <c r="I10" s="8" t="s">
        <v>291</v>
      </c>
      <c r="J10" s="8" t="s">
        <v>300</v>
      </c>
      <c r="K10" s="8" t="s">
        <v>301</v>
      </c>
      <c r="L10" s="8" t="s">
        <v>169</v>
      </c>
      <c r="M10" s="8" t="s">
        <v>169</v>
      </c>
      <c r="N10" s="8" t="s">
        <v>170</v>
      </c>
      <c r="O10" s="8" t="s">
        <v>302</v>
      </c>
    </row>
    <row r="11" customFormat="false" ht="69.75" hidden="false" customHeight="true" outlineLevel="0" collapsed="false">
      <c r="A11" s="8" t="s">
        <v>303</v>
      </c>
      <c r="B11" s="8" t="s">
        <v>304</v>
      </c>
      <c r="C11" s="8" t="s">
        <v>305</v>
      </c>
      <c r="D11" s="8" t="s">
        <v>306</v>
      </c>
      <c r="E11" s="8" t="s">
        <v>251</v>
      </c>
      <c r="F11" s="8" t="s">
        <v>288</v>
      </c>
      <c r="G11" s="8" t="s">
        <v>307</v>
      </c>
      <c r="H11" s="8" t="s">
        <v>308</v>
      </c>
      <c r="I11" s="8" t="s">
        <v>291</v>
      </c>
      <c r="J11" s="8" t="s">
        <v>309</v>
      </c>
      <c r="K11" s="8" t="s">
        <v>310</v>
      </c>
      <c r="L11" s="8" t="s">
        <v>169</v>
      </c>
      <c r="M11" s="8" t="s">
        <v>169</v>
      </c>
      <c r="N11" s="8" t="s">
        <v>170</v>
      </c>
      <c r="O11" s="8" t="s">
        <v>311</v>
      </c>
    </row>
    <row r="14" customFormat="false" ht="30" hidden="false" customHeight="true" outlineLevel="0" collapsed="false">
      <c r="A14" s="13" t="s">
        <v>312</v>
      </c>
      <c r="B14" s="13"/>
      <c r="C14" s="13"/>
      <c r="D14" s="13"/>
      <c r="E14" s="13"/>
      <c r="F14" s="13"/>
      <c r="G14" s="13"/>
      <c r="H14" s="13"/>
      <c r="I14" s="13"/>
      <c r="J14" s="13"/>
      <c r="K14" s="13"/>
      <c r="L14" s="13"/>
      <c r="M14" s="13"/>
      <c r="N14" s="13"/>
      <c r="O14" s="13"/>
    </row>
    <row r="15" customFormat="false" ht="30" hidden="false" customHeight="true" outlineLevel="0" collapsed="false">
      <c r="A15" s="13" t="s">
        <v>313</v>
      </c>
      <c r="B15" s="13"/>
      <c r="C15" s="13"/>
      <c r="D15" s="13"/>
      <c r="E15" s="13"/>
      <c r="F15" s="13"/>
      <c r="G15" s="13"/>
      <c r="H15" s="13"/>
      <c r="I15" s="13"/>
      <c r="J15" s="13"/>
      <c r="K15" s="13"/>
      <c r="L15" s="13"/>
      <c r="M15" s="13"/>
      <c r="N15" s="13"/>
      <c r="O15" s="13"/>
    </row>
    <row r="16" customFormat="false" ht="30" hidden="false" customHeight="true" outlineLevel="0" collapsed="false">
      <c r="A16" s="13" t="s">
        <v>314</v>
      </c>
      <c r="B16" s="13"/>
      <c r="C16" s="13"/>
      <c r="D16" s="13"/>
      <c r="E16" s="13"/>
      <c r="F16" s="13"/>
      <c r="G16" s="13"/>
      <c r="H16" s="13"/>
      <c r="I16" s="13"/>
      <c r="J16" s="13"/>
      <c r="K16" s="13"/>
      <c r="L16" s="13"/>
      <c r="M16" s="13"/>
      <c r="N16" s="13"/>
      <c r="O16" s="13"/>
    </row>
    <row r="17" customFormat="false" ht="30" hidden="false" customHeight="true" outlineLevel="0" collapsed="false">
      <c r="A17" s="13" t="s">
        <v>315</v>
      </c>
      <c r="B17" s="13"/>
      <c r="C17" s="13"/>
      <c r="D17" s="13"/>
      <c r="E17" s="13"/>
      <c r="F17" s="13"/>
      <c r="G17" s="13"/>
      <c r="H17" s="13"/>
      <c r="I17" s="13"/>
      <c r="J17" s="13"/>
      <c r="K17" s="13"/>
      <c r="L17" s="13"/>
      <c r="M17" s="13"/>
      <c r="N17" s="13"/>
      <c r="O17" s="13"/>
    </row>
    <row r="18" customFormat="false" ht="30" hidden="false" customHeight="true" outlineLevel="0" collapsed="false">
      <c r="A18" s="13" t="s">
        <v>316</v>
      </c>
      <c r="B18" s="13"/>
      <c r="C18" s="13"/>
      <c r="D18" s="13"/>
      <c r="E18" s="13"/>
      <c r="F18" s="13"/>
      <c r="G18" s="13"/>
      <c r="H18" s="13"/>
      <c r="I18" s="13"/>
      <c r="J18" s="13"/>
      <c r="K18" s="13"/>
      <c r="L18" s="13"/>
      <c r="M18" s="13"/>
      <c r="N18" s="13"/>
      <c r="O18" s="13"/>
    </row>
    <row r="19" customFormat="false" ht="30" hidden="false" customHeight="true" outlineLevel="0" collapsed="false">
      <c r="A19" s="13" t="s">
        <v>317</v>
      </c>
      <c r="B19" s="13"/>
      <c r="C19" s="13"/>
      <c r="D19" s="13"/>
      <c r="E19" s="13"/>
      <c r="F19" s="13"/>
      <c r="G19" s="13"/>
      <c r="H19" s="13"/>
      <c r="I19" s="13"/>
      <c r="J19" s="13"/>
      <c r="K19" s="13"/>
      <c r="L19" s="13"/>
      <c r="M19" s="13"/>
      <c r="N19" s="13"/>
      <c r="O19" s="13"/>
    </row>
    <row r="20" customFormat="false" ht="30" hidden="false" customHeight="true" outlineLevel="0" collapsed="false">
      <c r="A20" s="14" t="s">
        <v>318</v>
      </c>
      <c r="B20" s="14"/>
      <c r="C20" s="14"/>
      <c r="D20" s="14"/>
      <c r="E20" s="14"/>
      <c r="F20" s="14"/>
      <c r="G20" s="14"/>
      <c r="H20" s="14"/>
      <c r="I20" s="14"/>
      <c r="J20" s="14"/>
      <c r="K20" s="14"/>
      <c r="L20" s="14"/>
      <c r="M20" s="14"/>
      <c r="N20" s="14"/>
      <c r="O20" s="14"/>
    </row>
    <row r="21" customFormat="false" ht="45" hidden="false" customHeight="true" outlineLevel="0" collapsed="false">
      <c r="A21" s="13" t="s">
        <v>319</v>
      </c>
      <c r="B21" s="13"/>
      <c r="C21" s="13"/>
      <c r="D21" s="13"/>
      <c r="E21" s="13"/>
      <c r="F21" s="13"/>
      <c r="G21" s="13"/>
      <c r="H21" s="13"/>
      <c r="I21" s="13"/>
      <c r="J21" s="13"/>
      <c r="K21" s="13"/>
      <c r="L21" s="13"/>
      <c r="M21" s="13"/>
      <c r="N21" s="13"/>
      <c r="O21" s="13"/>
    </row>
    <row r="22" customFormat="false" ht="45" hidden="false" customHeight="true" outlineLevel="0" collapsed="false">
      <c r="A22" s="13" t="s">
        <v>320</v>
      </c>
      <c r="B22" s="13"/>
      <c r="C22" s="13"/>
      <c r="D22" s="13"/>
      <c r="E22" s="13"/>
      <c r="F22" s="13"/>
      <c r="G22" s="13"/>
      <c r="H22" s="13"/>
      <c r="I22" s="13"/>
      <c r="J22" s="13"/>
      <c r="K22" s="13"/>
      <c r="L22" s="13"/>
      <c r="M22" s="13"/>
      <c r="N22" s="13"/>
      <c r="O22" s="13"/>
    </row>
    <row r="23" customFormat="false" ht="30" hidden="false" customHeight="true" outlineLevel="0" collapsed="false">
      <c r="A23" s="13" t="s">
        <v>321</v>
      </c>
      <c r="B23" s="13"/>
      <c r="C23" s="13"/>
      <c r="D23" s="13"/>
      <c r="E23" s="13"/>
      <c r="F23" s="13"/>
      <c r="G23" s="13"/>
      <c r="H23" s="13"/>
      <c r="I23" s="13"/>
      <c r="J23" s="13"/>
      <c r="K23" s="13"/>
      <c r="L23" s="13"/>
      <c r="M23" s="13"/>
      <c r="N23" s="13"/>
      <c r="O23" s="13"/>
    </row>
    <row r="24" customFormat="false" ht="45" hidden="false" customHeight="true" outlineLevel="0" collapsed="false">
      <c r="A24" s="13" t="s">
        <v>322</v>
      </c>
      <c r="B24" s="13"/>
      <c r="C24" s="13"/>
      <c r="D24" s="13"/>
      <c r="E24" s="13"/>
      <c r="F24" s="13"/>
      <c r="G24" s="13"/>
      <c r="H24" s="13"/>
      <c r="I24" s="13"/>
      <c r="J24" s="13"/>
      <c r="K24" s="13"/>
      <c r="L24" s="13"/>
      <c r="M24" s="13"/>
      <c r="N24" s="13"/>
      <c r="O24" s="13"/>
    </row>
    <row r="25" customFormat="false" ht="45" hidden="false" customHeight="true" outlineLevel="0" collapsed="false">
      <c r="A25" s="13" t="s">
        <v>323</v>
      </c>
      <c r="B25" s="13"/>
      <c r="C25" s="13"/>
      <c r="D25" s="13"/>
      <c r="E25" s="13"/>
      <c r="F25" s="13"/>
      <c r="G25" s="13"/>
      <c r="H25" s="13"/>
      <c r="I25" s="13"/>
      <c r="J25" s="13"/>
      <c r="K25" s="13"/>
      <c r="L25" s="13"/>
      <c r="M25" s="13"/>
      <c r="N25" s="13"/>
      <c r="O25" s="13"/>
    </row>
  </sheetData>
  <mergeCells count="13">
    <mergeCell ref="A2:O2"/>
    <mergeCell ref="A14:O14"/>
    <mergeCell ref="A15:O15"/>
    <mergeCell ref="A16:O16"/>
    <mergeCell ref="A17:O17"/>
    <mergeCell ref="A18:O18"/>
    <mergeCell ref="A19:O19"/>
    <mergeCell ref="A20:O20"/>
    <mergeCell ref="A21:O21"/>
    <mergeCell ref="A22:O22"/>
    <mergeCell ref="A23:O23"/>
    <mergeCell ref="A24:O24"/>
    <mergeCell ref="A25:O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80"/>
    <col collapsed="false" customWidth="true" hidden="false" outlineLevel="0" max="4" min="4" style="0" width="60"/>
    <col collapsed="false" customWidth="true" hidden="false" outlineLevel="0" max="5" min="5" style="0" width="22"/>
  </cols>
  <sheetData>
    <row r="1" customFormat="false" ht="16.15" hidden="false" customHeight="false" outlineLevel="0" collapsed="false">
      <c r="A1" s="5" t="s">
        <v>324</v>
      </c>
    </row>
    <row r="2" customFormat="false" ht="60" hidden="false" customHeight="true" outlineLevel="0" collapsed="false">
      <c r="A2" s="6" t="s">
        <v>325</v>
      </c>
      <c r="B2" s="6"/>
      <c r="C2" s="6"/>
      <c r="D2" s="6"/>
      <c r="E2" s="6"/>
    </row>
    <row r="4" customFormat="false" ht="15" hidden="false" customHeight="false" outlineLevel="0" collapsed="false">
      <c r="A4" s="7" t="s">
        <v>326</v>
      </c>
      <c r="B4" s="7" t="s">
        <v>327</v>
      </c>
      <c r="C4" s="7" t="s">
        <v>328</v>
      </c>
      <c r="D4" s="7" t="s">
        <v>329</v>
      </c>
      <c r="E4" s="7" t="s">
        <v>330</v>
      </c>
    </row>
    <row r="5" customFormat="false" ht="32.8" hidden="false" customHeight="false" outlineLevel="0" collapsed="false">
      <c r="A5" s="8" t="s">
        <v>331</v>
      </c>
      <c r="B5" s="8" t="s">
        <v>332</v>
      </c>
      <c r="C5" s="8" t="s">
        <v>333</v>
      </c>
      <c r="D5" s="8" t="s">
        <v>334</v>
      </c>
      <c r="E5" s="8" t="s">
        <v>335</v>
      </c>
    </row>
    <row r="6" customFormat="false" ht="32.8" hidden="false" customHeight="false" outlineLevel="0" collapsed="false">
      <c r="A6" s="8" t="s">
        <v>336</v>
      </c>
      <c r="B6" s="8" t="s">
        <v>337</v>
      </c>
      <c r="C6" s="8" t="s">
        <v>338</v>
      </c>
      <c r="D6" s="8" t="s">
        <v>339</v>
      </c>
      <c r="E6" s="8" t="s">
        <v>340</v>
      </c>
    </row>
    <row r="7" customFormat="false" ht="32.8" hidden="false" customHeight="false" outlineLevel="0" collapsed="false">
      <c r="A7" s="8" t="s">
        <v>341</v>
      </c>
      <c r="B7" s="8" t="s">
        <v>342</v>
      </c>
      <c r="C7" s="8" t="s">
        <v>343</v>
      </c>
      <c r="D7" s="8" t="s">
        <v>344</v>
      </c>
      <c r="E7" s="8" t="s">
        <v>345</v>
      </c>
    </row>
    <row r="8" customFormat="false" ht="22.35" hidden="false" customHeight="false" outlineLevel="0" collapsed="false">
      <c r="A8" s="8" t="s">
        <v>346</v>
      </c>
      <c r="B8" s="8" t="s">
        <v>347</v>
      </c>
      <c r="C8" s="8" t="s">
        <v>348</v>
      </c>
      <c r="D8" s="8" t="s">
        <v>349</v>
      </c>
      <c r="E8" s="8" t="s">
        <v>350</v>
      </c>
    </row>
    <row r="9" customFormat="false" ht="22.35" hidden="false" customHeight="false" outlineLevel="0" collapsed="false">
      <c r="A9" s="8" t="s">
        <v>351</v>
      </c>
      <c r="B9" s="8" t="s">
        <v>352</v>
      </c>
      <c r="C9" s="8" t="s">
        <v>353</v>
      </c>
      <c r="D9" s="8" t="s">
        <v>354</v>
      </c>
      <c r="E9" s="8" t="s">
        <v>355</v>
      </c>
    </row>
    <row r="10" customFormat="false" ht="22.35" hidden="false" customHeight="false" outlineLevel="0" collapsed="false">
      <c r="A10" s="8" t="s">
        <v>356</v>
      </c>
      <c r="B10" s="8" t="s">
        <v>357</v>
      </c>
      <c r="C10" s="8" t="s">
        <v>358</v>
      </c>
      <c r="D10" s="8" t="s">
        <v>359</v>
      </c>
      <c r="E10" s="8" t="s">
        <v>355</v>
      </c>
    </row>
    <row r="11" customFormat="false" ht="22.35" hidden="false" customHeight="false" outlineLevel="0" collapsed="false">
      <c r="A11" s="8" t="s">
        <v>360</v>
      </c>
      <c r="B11" s="8" t="s">
        <v>361</v>
      </c>
      <c r="C11" s="8" t="s">
        <v>362</v>
      </c>
      <c r="D11" s="8" t="s">
        <v>363</v>
      </c>
      <c r="E11" s="8" t="s">
        <v>364</v>
      </c>
    </row>
    <row r="12" customFormat="false" ht="22.35" hidden="false" customHeight="false" outlineLevel="0" collapsed="false">
      <c r="A12" s="8" t="s">
        <v>365</v>
      </c>
      <c r="B12" s="8" t="s">
        <v>366</v>
      </c>
      <c r="C12" s="8" t="s">
        <v>367</v>
      </c>
      <c r="D12" s="8" t="s">
        <v>368</v>
      </c>
      <c r="E12" s="8" t="s">
        <v>369</v>
      </c>
    </row>
    <row r="13" customFormat="false" ht="22.35" hidden="false" customHeight="false" outlineLevel="0" collapsed="false">
      <c r="A13" s="8" t="s">
        <v>370</v>
      </c>
      <c r="B13" s="8" t="s">
        <v>371</v>
      </c>
      <c r="C13" s="8" t="s">
        <v>372</v>
      </c>
      <c r="D13" s="8" t="s">
        <v>373</v>
      </c>
      <c r="E13" s="8" t="s">
        <v>374</v>
      </c>
    </row>
    <row r="14" customFormat="false" ht="15" hidden="false" customHeight="false" outlineLevel="0" collapsed="false">
      <c r="A14" s="8" t="s">
        <v>375</v>
      </c>
      <c r="B14" s="8" t="s">
        <v>376</v>
      </c>
      <c r="C14" s="8" t="s">
        <v>377</v>
      </c>
      <c r="D14" s="8" t="s">
        <v>378</v>
      </c>
      <c r="E14" s="8" t="s">
        <v>364</v>
      </c>
    </row>
    <row r="15" customFormat="false" ht="22.35" hidden="false" customHeight="false" outlineLevel="0" collapsed="false">
      <c r="A15" s="8" t="s">
        <v>379</v>
      </c>
      <c r="B15" s="8" t="s">
        <v>376</v>
      </c>
      <c r="C15" s="8" t="s">
        <v>380</v>
      </c>
      <c r="D15" s="8" t="s">
        <v>381</v>
      </c>
      <c r="E15" s="8" t="s">
        <v>382</v>
      </c>
    </row>
    <row r="16" customFormat="false" ht="22.35" hidden="false" customHeight="false" outlineLevel="0" collapsed="false">
      <c r="A16" s="8" t="s">
        <v>383</v>
      </c>
      <c r="B16" s="8" t="s">
        <v>376</v>
      </c>
      <c r="C16" s="8" t="s">
        <v>384</v>
      </c>
      <c r="D16" s="8" t="s">
        <v>385</v>
      </c>
      <c r="E16" s="8" t="s">
        <v>386</v>
      </c>
    </row>
    <row r="17" customFormat="false" ht="32.8" hidden="false" customHeight="false" outlineLevel="0" collapsed="false">
      <c r="A17" s="8" t="s">
        <v>387</v>
      </c>
      <c r="B17" s="8" t="s">
        <v>376</v>
      </c>
      <c r="C17" s="8" t="s">
        <v>388</v>
      </c>
      <c r="D17" s="8" t="s">
        <v>389</v>
      </c>
      <c r="E17" s="8" t="s">
        <v>390</v>
      </c>
    </row>
    <row r="18" customFormat="false" ht="15" hidden="false" customHeight="false" outlineLevel="0" collapsed="false">
      <c r="A18" s="8" t="s">
        <v>391</v>
      </c>
      <c r="B18" s="8" t="s">
        <v>376</v>
      </c>
      <c r="C18" s="8" t="s">
        <v>392</v>
      </c>
      <c r="D18" s="8" t="s">
        <v>393</v>
      </c>
      <c r="E18" s="8" t="s">
        <v>394</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100"/>
    <col collapsed="false" customWidth="true" hidden="false" outlineLevel="0" max="4" min="4" style="0" width="40"/>
  </cols>
  <sheetData>
    <row r="1" customFormat="false" ht="16.15" hidden="false" customHeight="false" outlineLevel="0" collapsed="false">
      <c r="A1" s="5" t="s">
        <v>395</v>
      </c>
    </row>
    <row r="2" customFormat="false" ht="60" hidden="false" customHeight="true" outlineLevel="0" collapsed="false">
      <c r="A2" s="6" t="s">
        <v>396</v>
      </c>
      <c r="B2" s="6"/>
      <c r="C2" s="6"/>
      <c r="D2" s="6"/>
    </row>
    <row r="4" customFormat="false" ht="15" hidden="false" customHeight="false" outlineLevel="0" collapsed="false">
      <c r="A4" s="7" t="s">
        <v>397</v>
      </c>
      <c r="B4" s="7" t="s">
        <v>398</v>
      </c>
      <c r="C4" s="7" t="s">
        <v>399</v>
      </c>
      <c r="D4" s="7" t="s">
        <v>400</v>
      </c>
    </row>
    <row r="5" customFormat="false" ht="22.35" hidden="false" customHeight="false" outlineLevel="0" collapsed="false">
      <c r="A5" s="8" t="s">
        <v>401</v>
      </c>
      <c r="B5" s="8" t="s">
        <v>402</v>
      </c>
      <c r="C5" s="8" t="s">
        <v>403</v>
      </c>
      <c r="D5" s="8" t="s">
        <v>404</v>
      </c>
    </row>
    <row r="6" customFormat="false" ht="22.35" hidden="false" customHeight="false" outlineLevel="0" collapsed="false">
      <c r="A6" s="8" t="s">
        <v>405</v>
      </c>
      <c r="B6" s="8" t="s">
        <v>406</v>
      </c>
      <c r="C6" s="8" t="s">
        <v>407</v>
      </c>
      <c r="D6" s="8" t="s">
        <v>408</v>
      </c>
    </row>
    <row r="7" customFormat="false" ht="32.8" hidden="false" customHeight="false" outlineLevel="0" collapsed="false">
      <c r="A7" s="8" t="s">
        <v>409</v>
      </c>
      <c r="B7" s="8" t="s">
        <v>410</v>
      </c>
      <c r="C7" s="8" t="s">
        <v>411</v>
      </c>
      <c r="D7" s="8" t="s">
        <v>412</v>
      </c>
    </row>
    <row r="8" customFormat="false" ht="22.35" hidden="false" customHeight="false" outlineLevel="0" collapsed="false">
      <c r="A8" s="8" t="s">
        <v>413</v>
      </c>
      <c r="B8" s="8" t="s">
        <v>414</v>
      </c>
      <c r="C8" s="8" t="s">
        <v>415</v>
      </c>
      <c r="D8" s="8" t="s">
        <v>416</v>
      </c>
    </row>
    <row r="9" customFormat="false" ht="32.8" hidden="false" customHeight="false" outlineLevel="0" collapsed="false">
      <c r="A9" s="8" t="s">
        <v>417</v>
      </c>
      <c r="B9" s="8" t="s">
        <v>418</v>
      </c>
      <c r="C9" s="8" t="s">
        <v>419</v>
      </c>
      <c r="D9" s="8" t="s">
        <v>420</v>
      </c>
    </row>
    <row r="10" customFormat="false" ht="22.35" hidden="false" customHeight="false" outlineLevel="0" collapsed="false">
      <c r="A10" s="8" t="s">
        <v>421</v>
      </c>
      <c r="B10" s="8" t="s">
        <v>422</v>
      </c>
      <c r="C10" s="8" t="s">
        <v>423</v>
      </c>
      <c r="D10" s="8" t="s">
        <v>424</v>
      </c>
    </row>
    <row r="11" customFormat="false" ht="22.35" hidden="false" customHeight="false" outlineLevel="0" collapsed="false">
      <c r="A11" s="8" t="s">
        <v>425</v>
      </c>
      <c r="B11" s="8" t="s">
        <v>426</v>
      </c>
      <c r="C11" s="8" t="s">
        <v>427</v>
      </c>
      <c r="D11" s="8" t="s">
        <v>428</v>
      </c>
    </row>
    <row r="12" customFormat="false" ht="15" hidden="false" customHeight="false" outlineLevel="0" collapsed="false">
      <c r="A12" s="8" t="s">
        <v>429</v>
      </c>
      <c r="B12" s="8" t="s">
        <v>430</v>
      </c>
      <c r="C12" s="8" t="s">
        <v>431</v>
      </c>
      <c r="D12" s="8" t="s">
        <v>432</v>
      </c>
    </row>
    <row r="13" customFormat="false" ht="22.35" hidden="false" customHeight="false" outlineLevel="0" collapsed="false">
      <c r="A13" s="8" t="s">
        <v>433</v>
      </c>
      <c r="B13" s="8" t="s">
        <v>430</v>
      </c>
      <c r="C13" s="8" t="s">
        <v>434</v>
      </c>
      <c r="D13" s="8" t="s">
        <v>435</v>
      </c>
    </row>
    <row r="14" customFormat="false" ht="22.35" hidden="false" customHeight="false" outlineLevel="0" collapsed="false">
      <c r="A14" s="8" t="s">
        <v>436</v>
      </c>
      <c r="B14" s="8" t="s">
        <v>437</v>
      </c>
      <c r="C14" s="8" t="s">
        <v>438</v>
      </c>
      <c r="D14" s="8" t="s">
        <v>371</v>
      </c>
    </row>
    <row r="15" customFormat="false" ht="22.35" hidden="false" customHeight="false" outlineLevel="0" collapsed="false">
      <c r="A15" s="8" t="s">
        <v>439</v>
      </c>
      <c r="B15" s="8" t="s">
        <v>440</v>
      </c>
      <c r="C15" s="8" t="s">
        <v>441</v>
      </c>
      <c r="D15" s="8" t="s">
        <v>442</v>
      </c>
    </row>
    <row r="16" customFormat="false" ht="22.35" hidden="false" customHeight="false" outlineLevel="0" collapsed="false">
      <c r="A16" s="8" t="s">
        <v>443</v>
      </c>
      <c r="B16" s="8" t="s">
        <v>444</v>
      </c>
      <c r="C16" s="8" t="s">
        <v>445</v>
      </c>
      <c r="D16" s="8" t="s">
        <v>446</v>
      </c>
    </row>
    <row r="17" customFormat="false" ht="22.35" hidden="false" customHeight="false" outlineLevel="0" collapsed="false">
      <c r="A17" s="8" t="s">
        <v>447</v>
      </c>
      <c r="B17" s="8" t="s">
        <v>448</v>
      </c>
      <c r="C17" s="8" t="s">
        <v>449</v>
      </c>
      <c r="D17" s="8" t="s">
        <v>450</v>
      </c>
    </row>
    <row r="18" customFormat="false" ht="22.35" hidden="false" customHeight="false" outlineLevel="0" collapsed="false">
      <c r="A18" s="8" t="s">
        <v>451</v>
      </c>
      <c r="B18" s="8" t="s">
        <v>452</v>
      </c>
      <c r="C18" s="8" t="s">
        <v>453</v>
      </c>
      <c r="D18" s="8" t="s">
        <v>454</v>
      </c>
    </row>
    <row r="19" customFormat="false" ht="32.8" hidden="false" customHeight="false" outlineLevel="0" collapsed="false">
      <c r="A19" s="8" t="s">
        <v>455</v>
      </c>
      <c r="B19" s="8" t="s">
        <v>456</v>
      </c>
      <c r="C19" s="8" t="s">
        <v>457</v>
      </c>
      <c r="D19" s="8" t="s">
        <v>458</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5"/>
    <col collapsed="false" customWidth="true" hidden="false" outlineLevel="0" max="3" min="3" style="0" width="120"/>
  </cols>
  <sheetData>
    <row r="1" customFormat="false" ht="16.15" hidden="false" customHeight="false" outlineLevel="0" collapsed="false">
      <c r="A1" s="5" t="s">
        <v>459</v>
      </c>
    </row>
    <row r="2" customFormat="false" ht="60" hidden="false" customHeight="true" outlineLevel="0" collapsed="false">
      <c r="A2" s="6" t="s">
        <v>460</v>
      </c>
      <c r="B2" s="6"/>
      <c r="C2" s="6"/>
    </row>
    <row r="4" customFormat="false" ht="15" hidden="false" customHeight="false" outlineLevel="0" collapsed="false">
      <c r="A4" s="7" t="s">
        <v>326</v>
      </c>
      <c r="B4" s="7" t="s">
        <v>461</v>
      </c>
      <c r="C4" s="7" t="s">
        <v>462</v>
      </c>
    </row>
    <row r="5" customFormat="false" ht="32.8" hidden="false" customHeight="false" outlineLevel="0" collapsed="false">
      <c r="A5" s="8" t="s">
        <v>463</v>
      </c>
      <c r="B5" s="8" t="s">
        <v>464</v>
      </c>
      <c r="C5" s="8" t="s">
        <v>465</v>
      </c>
    </row>
    <row r="6" customFormat="false" ht="32.8" hidden="false" customHeight="false" outlineLevel="0" collapsed="false">
      <c r="A6" s="8" t="s">
        <v>466</v>
      </c>
      <c r="B6" s="8" t="s">
        <v>467</v>
      </c>
      <c r="C6" s="8" t="s">
        <v>468</v>
      </c>
    </row>
    <row r="7" customFormat="false" ht="22.35" hidden="false" customHeight="false" outlineLevel="0" collapsed="false">
      <c r="A7" s="8" t="s">
        <v>469</v>
      </c>
      <c r="B7" s="8" t="s">
        <v>470</v>
      </c>
      <c r="C7" s="8" t="s">
        <v>471</v>
      </c>
    </row>
    <row r="8" customFormat="false" ht="22.35" hidden="false" customHeight="false" outlineLevel="0" collapsed="false">
      <c r="A8" s="8" t="s">
        <v>472</v>
      </c>
      <c r="B8" s="8" t="s">
        <v>473</v>
      </c>
      <c r="C8" s="8" t="s">
        <v>474</v>
      </c>
    </row>
    <row r="9" customFormat="false" ht="15" hidden="false" customHeight="false" outlineLevel="0" collapsed="false">
      <c r="A9" s="8" t="s">
        <v>475</v>
      </c>
      <c r="B9" s="8" t="s">
        <v>476</v>
      </c>
      <c r="C9" s="8" t="s">
        <v>477</v>
      </c>
    </row>
    <row r="10" customFormat="false" ht="15" hidden="false" customHeight="false" outlineLevel="0" collapsed="false">
      <c r="A10" s="8" t="s">
        <v>478</v>
      </c>
      <c r="B10" s="8" t="s">
        <v>479</v>
      </c>
      <c r="C10" s="8" t="s">
        <v>480</v>
      </c>
    </row>
  </sheetData>
  <mergeCells count="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8"/>
  </cols>
  <sheetData>
    <row r="1" customFormat="false" ht="15" hidden="false" customHeight="false" outlineLevel="0" collapsed="false">
      <c r="A1" s="15" t="s">
        <v>481</v>
      </c>
      <c r="B1" s="15"/>
    </row>
    <row r="2" customFormat="false" ht="15" hidden="false" customHeight="false" outlineLevel="0" collapsed="false">
      <c r="A2" s="16"/>
      <c r="B2" s="16"/>
    </row>
    <row r="3" customFormat="false" ht="15" hidden="false" customHeight="false" outlineLevel="0" collapsed="false">
      <c r="A3" s="15" t="s">
        <v>482</v>
      </c>
      <c r="B3" s="15" t="s">
        <v>483</v>
      </c>
    </row>
    <row r="4" customFormat="false" ht="15" hidden="false" customHeight="false" outlineLevel="0" collapsed="false">
      <c r="A4" s="17" t="n">
        <v>45658</v>
      </c>
      <c r="B4" s="16" t="s">
        <v>484</v>
      </c>
    </row>
    <row r="5" customFormat="false" ht="15" hidden="false" customHeight="false" outlineLevel="0" collapsed="false">
      <c r="A5" s="17" t="n">
        <v>45677</v>
      </c>
      <c r="B5" s="16" t="s">
        <v>485</v>
      </c>
    </row>
    <row r="6" customFormat="false" ht="15" hidden="false" customHeight="false" outlineLevel="0" collapsed="false">
      <c r="A6" s="17" t="n">
        <v>45705</v>
      </c>
      <c r="B6" s="16" t="s">
        <v>486</v>
      </c>
    </row>
    <row r="7" customFormat="false" ht="15" hidden="false" customHeight="false" outlineLevel="0" collapsed="false">
      <c r="A7" s="17" t="n">
        <v>45803</v>
      </c>
      <c r="B7" s="16" t="s">
        <v>487</v>
      </c>
    </row>
    <row r="8" customFormat="false" ht="15" hidden="false" customHeight="false" outlineLevel="0" collapsed="false">
      <c r="A8" s="17" t="n">
        <v>45827</v>
      </c>
      <c r="B8" s="16" t="s">
        <v>488</v>
      </c>
    </row>
    <row r="9" customFormat="false" ht="15" hidden="false" customHeight="false" outlineLevel="0" collapsed="false">
      <c r="A9" s="17" t="n">
        <v>45842</v>
      </c>
      <c r="B9" s="16" t="s">
        <v>489</v>
      </c>
    </row>
    <row r="10" customFormat="false" ht="15" hidden="false" customHeight="false" outlineLevel="0" collapsed="false">
      <c r="A10" s="17" t="n">
        <v>45901</v>
      </c>
      <c r="B10" s="16" t="s">
        <v>490</v>
      </c>
    </row>
    <row r="11" customFormat="false" ht="15" hidden="false" customHeight="false" outlineLevel="0" collapsed="false">
      <c r="A11" s="17" t="n">
        <v>45943</v>
      </c>
      <c r="B11" s="16" t="s">
        <v>491</v>
      </c>
    </row>
    <row r="12" customFormat="false" ht="15" hidden="false" customHeight="false" outlineLevel="0" collapsed="false">
      <c r="A12" s="17" t="n">
        <v>45972</v>
      </c>
      <c r="B12" s="16" t="s">
        <v>492</v>
      </c>
    </row>
    <row r="13" customFormat="false" ht="15" hidden="false" customHeight="false" outlineLevel="0" collapsed="false">
      <c r="A13" s="17" t="n">
        <v>45988</v>
      </c>
      <c r="B13" s="16" t="s">
        <v>493</v>
      </c>
    </row>
    <row r="14" customFormat="false" ht="15" hidden="false" customHeight="false" outlineLevel="0" collapsed="false">
      <c r="A14" s="17" t="n">
        <v>46016</v>
      </c>
      <c r="B14" s="16" t="s">
        <v>494</v>
      </c>
    </row>
    <row r="15" customFormat="false" ht="15" hidden="false" customHeight="false" outlineLevel="0" collapsed="false">
      <c r="A15" s="17" t="n">
        <v>46023</v>
      </c>
      <c r="B15" s="16" t="s">
        <v>484</v>
      </c>
    </row>
    <row r="16" customFormat="false" ht="15" hidden="false" customHeight="false" outlineLevel="0" collapsed="false">
      <c r="A16" s="17" t="n">
        <v>46041</v>
      </c>
      <c r="B16" s="16" t="s">
        <v>485</v>
      </c>
    </row>
    <row r="17" customFormat="false" ht="15" hidden="false" customHeight="false" outlineLevel="0" collapsed="false">
      <c r="A17" s="17" t="n">
        <v>46069</v>
      </c>
      <c r="B17" s="16" t="s">
        <v>486</v>
      </c>
    </row>
    <row r="18" customFormat="false" ht="15" hidden="false" customHeight="false" outlineLevel="0" collapsed="false">
      <c r="A18" s="17" t="n">
        <v>46167</v>
      </c>
      <c r="B18" s="16" t="s">
        <v>487</v>
      </c>
    </row>
    <row r="19" customFormat="false" ht="15" hidden="false" customHeight="false" outlineLevel="0" collapsed="false">
      <c r="A19" s="17" t="n">
        <v>46192</v>
      </c>
      <c r="B19" s="16" t="s">
        <v>488</v>
      </c>
    </row>
    <row r="20" customFormat="false" ht="15" hidden="false" customHeight="false" outlineLevel="0" collapsed="false">
      <c r="A20" s="17" t="n">
        <v>46206</v>
      </c>
      <c r="B20" s="16" t="s">
        <v>495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2026-11-01T23:49:41Z</dcterms:created>
  <dc:creator>openpyxl</dc:creator>
  <dc:description/>
  <dc:language>en-US</dc:language>
  <cp:lastModifiedBy/>
  <dcterms:modified xsi:type="dcterms:W3CDTF">2026-11-01T23:49:41Z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