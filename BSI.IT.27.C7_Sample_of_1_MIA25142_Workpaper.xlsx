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WP Summary" sheetId="1" state="visible" r:id="rId3"/>
    <sheet name="Sample Attribute Testing" sheetId="2" state="visible" r:id="rId4"/>
    <sheet name="Evidence Map" sheetId="3" state="visible" r:id="rId5"/>
    <sheet name="Evidence Index" sheetId="4" state="visible" r:id="rId6"/>
    <sheet name="Word Doc Cross-Ref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<sst xmlns="http://schemas.openxmlformats.org/spreadsheetml/2006/main" count="314" uniqueCount="245">
  <si>
    <t xml:space="preserve">BSI.IT.27.C7 – Network Device Admin Account Review – Sample of One Workpaper (MIA25142)</t>
  </si>
  <si>
    <t xml:space="preserve">Supports the Word document "BSI.IT.27.C7_Design_WT_Sample_of_1_MIA25142.docx". Each row gives the matching section / exhibit of that document.</t>
  </si>
  <si>
    <t xml:space="preserve">KPI</t>
  </si>
  <si>
    <t xml:space="preserve">Tested</t>
  </si>
  <si>
    <t xml:space="preserve">Passed</t>
  </si>
  <si>
    <t xml:space="preserve">Exceptions</t>
  </si>
  <si>
    <t xml:space="preserve">Status</t>
  </si>
  <si>
    <t xml:space="preserve">Control</t>
  </si>
  <si>
    <t xml:space="preserve">BSI.IT.27.C7 – Network Device Admin Account Review</t>
  </si>
  <si>
    <t xml:space="preserve">Control attributes tested (A1-A6)</t>
  </si>
  <si>
    <t xml:space="preserve">Control description</t>
  </si>
  <si>
    <t xml:space="preserve">[BSI.IT.27.C7 Network Device Admin Account Review] At least semiannually, InfoSec initiates accounts reviews for network device administrators, users and service accounts that will be performed by managers or account owners. Inappropriate access is revoked by PAM/IAM team, within SLA.</t>
  </si>
  <si>
    <t xml:space="preserve">Revocations removed within SLA</t>
  </si>
  <si>
    <t xml:space="preserve">Review period</t>
  </si>
  <si>
    <t xml:space="preserve">07/01/2025 – 06/30/2026</t>
  </si>
  <si>
    <t xml:space="preserve">Observations (not exceptions)</t>
  </si>
  <si>
    <t xml:space="preserve">OBSERVATION</t>
  </si>
  <si>
    <t xml:space="preserve">Sample of one</t>
  </si>
  <si>
    <t xml:space="preserve">MIA25142 – Miguel Nieves Nieves (identity 100546241); CISCO Network Administrators and ISEAdmin; 2025 Q3 PAM BSI SOX Manager Certification</t>
  </si>
  <si>
    <t xml:space="preserve">Design rating</t>
  </si>
  <si>
    <t xml:space="preserve">Satisfactory (3 observations) – Word doc Section 1</t>
  </si>
  <si>
    <t xml:space="preserve">Sample result</t>
  </si>
  <si>
    <t xml:space="preserve">Word document</t>
  </si>
  <si>
    <t xml:space="preserve">BSI.IT.27.C7_Design_WT_Sample_of_1_MIA25142.docx</t>
  </si>
  <si>
    <t xml:space="preserve">Walkthrough</t>
  </si>
  <si>
    <t xml:space="preserve">[Date / attendees – to be completed] – Word doc Section 2</t>
  </si>
  <si>
    <t xml:space="preserve">Testing procedures and results (Word doc Section 3)</t>
  </si>
  <si>
    <t xml:space="preserve">Step</t>
  </si>
  <si>
    <t xml:space="preserve">Procedure</t>
  </si>
  <si>
    <t xml:space="preserve">Result</t>
  </si>
  <si>
    <t xml:space="preserve">Word doc reference</t>
  </si>
  <si>
    <t xml:space="preserve">1 Obtain evidence</t>
  </si>
  <si>
    <t xml:space="preserve">Policies (E01-E03), 2025 Q3 / 2026 Q1 certifications with AD extracts and Netwrix (E04-E05), management response (E06)</t>
  </si>
  <si>
    <t xml:space="preserve">Obtained; ServiceNow ticket not provided (O1)</t>
  </si>
  <si>
    <t xml:space="preserve">Evidence references table</t>
  </si>
  <si>
    <t xml:space="preserve">2-3 Population and scope</t>
  </si>
  <si>
    <t xml:space="preserve">Confirm MIA25142 memberships are in scope (Definition of Privilege 3.3) and in the campaign</t>
  </si>
  <si>
    <t xml:space="preserve">PASS</t>
  </si>
  <si>
    <t xml:space="preserve">Section 3 row 3</t>
  </si>
  <si>
    <t xml:space="preserve">4 Control execution</t>
  </si>
  <si>
    <t xml:space="preserve">Initiation, reviewer, decision, revocation identified</t>
  </si>
  <si>
    <t xml:space="preserve">Section 3 rows 1-6</t>
  </si>
  <si>
    <t xml:space="preserve">5 Control results</t>
  </si>
  <si>
    <t xml:space="preserve">Removal by PAM/IAM within 30 business days of the close of the review</t>
  </si>
  <si>
    <t xml:space="preserve">PASS - 2 business days</t>
  </si>
  <si>
    <t xml:space="preserve">Section 3 rows 7-8; Exhibit A3</t>
  </si>
  <si>
    <t xml:space="preserve">6-7 Exceptions / escalation</t>
  </si>
  <si>
    <t xml:space="preserve">No exceptions for this sample; observations recorded</t>
  </si>
  <si>
    <t xml:space="preserve">N/A - observations O1-O3</t>
  </si>
  <si>
    <t xml:space="preserve">Section 3 rows 9-11</t>
  </si>
  <si>
    <t xml:space="preserve">8-9 Risk / coverage</t>
  </si>
  <si>
    <t xml:space="preserve">Control mitigates inappropriate privileged network access for the sample</t>
  </si>
  <si>
    <t xml:space="preserve">Section 2 last paragraph; Conclusion</t>
  </si>
  <si>
    <t xml:space="preserve">Conclusion</t>
  </si>
  <si>
    <t xml:space="preserve">Sample MIA25142 PASSED all control attributes (A1-A6): review initiated by InfoSec, performed by the authorized line manager, inappropriate access revoked and removed by PAM/IAM within the 30-business-day SLA (SUS.IAMS.4.2.5.21). Three observations, no exceptions. Word doc: Section 3 Conclusion.</t>
  </si>
  <si>
    <t xml:space="preserve">Sample MIA25142 – attribute testing against the control description</t>
  </si>
  <si>
    <t xml:space="preserve">One row per control statement phrase. Evidence refs point to the Evidence Index tab; Word doc reference points to the sample-of-one document.</t>
  </si>
  <si>
    <t xml:space="preserve">Attr.</t>
  </si>
  <si>
    <t xml:space="preserve">Control statement / workpaper column</t>
  </si>
  <si>
    <t xml:space="preserve">Value / conclusion</t>
  </si>
  <si>
    <t xml:space="preserve">Evidence reference</t>
  </si>
  <si>
    <t xml:space="preserve">Policy criteria</t>
  </si>
  <si>
    <t xml:space="preserve">A1</t>
  </si>
  <si>
    <t xml:space="preserve">"At least semiannually" - frequency</t>
  </si>
  <si>
    <t xml:space="preserve">2025 Q3 review (launched 08/01/2025) for H2 2025 and 2026 Q1 review (launched 04/09/2026) for H1 2026; MIA25142 included in both</t>
  </si>
  <si>
    <t xml:space="preserve">E04; E05; E07 tab 2_Step-by-Step 4.1</t>
  </si>
  <si>
    <t xml:space="preserve">Section 3, row 1</t>
  </si>
  <si>
    <t xml:space="preserve">SUS.IAMS.4.2.5.6, 4.2.5.19; PAM Proc. sec. 2, 4.1.1 C1</t>
  </si>
  <si>
    <t xml:space="preserve">"InfoSec initiates accounts reviews" - initiation</t>
  </si>
  <si>
    <t xml:space="preserve">2025 Q3 PAM BSI SOX Manager Certification launched by the PAM US Team in SanIAM / SailPoint</t>
  </si>
  <si>
    <t xml:space="preserve">E04 (tab 2); E02 4.1.1 C1, sec. 8 steps 1-7</t>
  </si>
  <si>
    <t xml:space="preserve">Section 3, row 2</t>
  </si>
  <si>
    <t xml:space="preserve">A2</t>
  </si>
  <si>
    <t xml:space="preserve">"for network device administrators, users and service accounts" - completeness</t>
  </si>
  <si>
    <t xml:space="preserve">MIA25142 (person account, identity 100546241) in CISCO Network Administrators and ISEAdmin - both memberships in the AD extract and in the campaign</t>
  </si>
  <si>
    <t xml:space="preserve">E04 (rows 2538-2539; AD extract row 1639); E03 sec. 3.3</t>
  </si>
  <si>
    <t xml:space="preserve">Section 3, row 3</t>
  </si>
  <si>
    <t xml:space="preserve">SUS.IAMS.4.2.5.10; PAM Proc. 4.1 C1; Def. of Privilege 3.3</t>
  </si>
  <si>
    <t xml:space="preserve">A3</t>
  </si>
  <si>
    <t xml:space="preserve">"performed by managers or account owners" - reviewer</t>
  </si>
  <si>
    <t xml:space="preserve">Borges, Dayam - line manager (Manager Name = Decision Maker); not the account holder</t>
  </si>
  <si>
    <t xml:space="preserve">E04 (rows 2538-2539); E02 4.1.1 C2; E01 SUS.IAMS.4.2.5.6</t>
  </si>
  <si>
    <t xml:space="preserve">Section 3, row 4</t>
  </si>
  <si>
    <t xml:space="preserve">SUS.IAMS.4.2.5.6; PAM Proc. 4.1.1 C2</t>
  </si>
  <si>
    <t xml:space="preserve">A4</t>
  </si>
  <si>
    <t xml:space="preserve">Review decision documented</t>
  </si>
  <si>
    <t xml:space="preserve">Revoked - 08/28/2025, signed off in SanIAM</t>
  </si>
  <si>
    <t xml:space="preserve">E04 (rows 2538-2539); E02 sec. 8 step 8</t>
  </si>
  <si>
    <t xml:space="preserve">Section 3, row 5; Exhibit A3</t>
  </si>
  <si>
    <t xml:space="preserve">PAM Proc. 4.1.1 C2, sec. 8 step 8</t>
  </si>
  <si>
    <t xml:space="preserve">A5</t>
  </si>
  <si>
    <t xml:space="preserve">"Inappropriate access" identified</t>
  </si>
  <si>
    <t xml:space="preserve">Yes - the line manager revoked both privileged memberships through the review</t>
  </si>
  <si>
    <t xml:space="preserve">E04 (rows 2538-2539); E01 SUS.IAMS.4.2.5.1, 4.2.5.7</t>
  </si>
  <si>
    <t xml:space="preserve">Section 3, row 6</t>
  </si>
  <si>
    <t xml:space="preserve">SUS.IAMS.4.2.5.1, 4.2.5.7</t>
  </si>
  <si>
    <t xml:space="preserve">A6</t>
  </si>
  <si>
    <t xml:space="preserve">"is revoked by PAM/IAM team" - removal</t>
  </si>
  <si>
    <t xml:space="preserve">Both memberships removed on 09/02/2025 per Netwrix, matching the decision</t>
  </si>
  <si>
    <t xml:space="preserve">E04 Netwrix log; E02 4.1.1 C3-C4, step 10; E01 SUS.IAMS.4.2.5.10</t>
  </si>
  <si>
    <t xml:space="preserve">Section 3, row 7; Exhibit A3</t>
  </si>
  <si>
    <t xml:space="preserve">SUS.IAMS.4.2.5.21, 4.2.5.10; PAM Proc. 4.1.1 C3-C4</t>
  </si>
  <si>
    <t xml:space="preserve">"within SLA" - timeliness</t>
  </si>
  <si>
    <t xml:space="preserve">2 business days after the 08/28/2025 close of review; deadline 10/10/2025 (30 business days)</t>
  </si>
  <si>
    <t xml:space="preserve">E04; E01 SUS.IAMS.4.2.5.21</t>
  </si>
  <si>
    <t xml:space="preserve">Section 3, row 8; Exhibit A3</t>
  </si>
  <si>
    <t xml:space="preserve">O1</t>
  </si>
  <si>
    <t xml:space="preserve">ServiceNow revocation ticket</t>
  </si>
  <si>
    <t xml:space="preserve">Not provided by management; removal evidenced by Netwrix</t>
  </si>
  <si>
    <t xml:space="preserve">E07 tab 7_Evidence Status #12</t>
  </si>
  <si>
    <t xml:space="preserve">Section 3, row 9</t>
  </si>
  <si>
    <t xml:space="preserve">PAM Proc. 4.1.1 C3</t>
  </si>
  <si>
    <t xml:space="preserve">O2</t>
  </si>
  <si>
    <t xml:space="preserve">Access after removal</t>
  </si>
  <si>
    <t xml:space="preserve">Member of both groups again in AD on 11/25/2025; approved by the line manager on 04/30/2026, 07/27/2026 and 08/17/2026. A new grant after a confirmed removal - assessed under SUS.IAMS.4.2.3.4 (provisioning), not this control</t>
  </si>
  <si>
    <t xml:space="preserve">E04 (row 1639); E05 (rows 3260, 3265); E06 (SOX rows 98-100, CyberArk rows 431-433); E07 #5</t>
  </si>
  <si>
    <t xml:space="preserve">Section 3, row 10; Exhibits A1, A2, A4</t>
  </si>
  <si>
    <t xml:space="preserve">SUS.IAMS.4.2.3.4 (provisioning control)</t>
  </si>
  <si>
    <t xml:space="preserve">O3</t>
  </si>
  <si>
    <t xml:space="preserve">Account status</t>
  </si>
  <si>
    <t xml:space="preserve">IAMS Termination Date 12/31/2024 but Identity Inactive FALSE and AD enabled (11/25/2025, 05/15/2026, 10/10/2026) - termination not evidenced; HR is the authoritative source (SUS.IAMS.4.2.1.1)</t>
  </si>
  <si>
    <t xml:space="preserve">E04; E05 (row 1636); E06 Oct10_2026Users (row 1621); E07 #4</t>
  </si>
  <si>
    <t xml:space="preserve">Section 3, row 11; Exhibits A4, A5</t>
  </si>
  <si>
    <t xml:space="preserve">SUS.IAMS.4.2.1.1; 4.2.4.3 if HR confirms</t>
  </si>
  <si>
    <t xml:space="preserve">Evidence mapping – sample MIA25142, per attribute</t>
  </si>
  <si>
    <t xml:space="preserve">Where to find each value: evidence file, row, and the matching place in the Word document.</t>
  </si>
  <si>
    <t xml:space="preserve">Evidence file (ref)</t>
  </si>
  <si>
    <t xml:space="preserve">Location in file</t>
  </si>
  <si>
    <t xml:space="preserve">E04 BSI.IT.27.C7.02 Q3_2025.xlsx; E05 BSI.IT.27.C7.02 Q1 2026 Cert.xlsx</t>
  </si>
  <si>
    <t xml:space="preserve">Certification Name / launch dates (8/1/2025; 4/9/2026)</t>
  </si>
  <si>
    <t xml:space="preserve">E04 BSI.IT.27.C7.02 Q3_2025.xlsx</t>
  </si>
  <si>
    <t xml:space="preserve">Tab 2 – Certification Name "2025 Q3 PAM BSI SOX Manager Certification"</t>
  </si>
  <si>
    <t xml:space="preserve">E04 BSI.IT.27.C7.02 Q3_2025.xlsx; E03 Definition of Privilege</t>
  </si>
  <si>
    <t xml:space="preserve">Rows 2538-2539 (Entitlement Value); AD extract row 1639; sec. 3.3</t>
  </si>
  <si>
    <t xml:space="preserve">Rows 2538-2539 – Manager Name, Decision Maker</t>
  </si>
  <si>
    <t xml:space="preserve">Rows 2538-2539 – Decision, Decision Date, SignOff Date</t>
  </si>
  <si>
    <t xml:space="preserve">Rows 2538-2539 – Decision = Revoked</t>
  </si>
  <si>
    <t xml:space="preserve">E04 BSI.IT.27.C7.02 Q3_2025.xlsx (Netwrix tab)</t>
  </si>
  <si>
    <t xml:space="preserve">Netwrix "member removed" events 09/02/2025 – CISCO Network Administrators, ISEAdmin</t>
  </si>
  <si>
    <t xml:space="preserve">E04 Netwrix log; E01 IAM Standard</t>
  </si>
  <si>
    <t xml:space="preserve">Removal 09/02/2025 vs deadline 10/10/2025; SUS.IAMS.4.2.5.21 (p.22)</t>
  </si>
  <si>
    <t xml:space="preserve">E07 Testing Walkthrough workbook</t>
  </si>
  <si>
    <t xml:space="preserve">Tab 7_Evidence Status #12</t>
  </si>
  <si>
    <t xml:space="preserve">E04 / E05 / E06</t>
  </si>
  <si>
    <t xml:space="preserve">AD 11/25/2025 row 1639; Q1 2026 rows 3260, 3265; C7.Sample SOX rows 98-100, CyberArk rows 431-433; SAMPLE tab screenshots A14, A20</t>
  </si>
  <si>
    <t xml:space="preserve">IAMS Termination Date / Identity Inactive fields; AD 05/15/2026 row 1636; Oct10_2026Users row 1621</t>
  </si>
  <si>
    <t xml:space="preserve">Evidence index – BSI.IT.27.C7 (E01 – E08)</t>
  </si>
  <si>
    <t xml:space="preserve">Same references as the "Evidence references" table of the Word document.</t>
  </si>
  <si>
    <t xml:space="preserve">Ref</t>
  </si>
  <si>
    <t xml:space="preserve">Evidence file</t>
  </si>
  <si>
    <t xml:space="preserve">Type</t>
  </si>
  <si>
    <t xml:space="preserve">Date / owner</t>
  </si>
  <si>
    <t xml:space="preserve">What it shows for MIA25142</t>
  </si>
  <si>
    <t xml:space="preserve">Attributes supported</t>
  </si>
  <si>
    <t xml:space="preserve">E01</t>
  </si>
  <si>
    <t xml:space="preserve">CUSO Identity and Access Management Standard v11.0 (BSIIT21.PDF)</t>
  </si>
  <si>
    <t xml:space="preserve">Policy</t>
  </si>
  <si>
    <t xml:space="preserve">07/28/2026 - CISO (v10.0 in effect during the period)</t>
  </si>
  <si>
    <t xml:space="preserve">SUS.IAMS.4.2.5.6, 4.2.5.10, 4.2.5.21 (30 business days from the close of the review), 4.2.3.4, 4.2.1.1</t>
  </si>
  <si>
    <t xml:space="preserve">A1, A3, A5, A6; O2, O3</t>
  </si>
  <si>
    <t xml:space="preserve">Sections 1-3; Evidence references</t>
  </si>
  <si>
    <t xml:space="preserve">E02</t>
  </si>
  <si>
    <t xml:space="preserve">PAM Recertification Procedure (BSI) 04.22.26.pdf (v2.0)</t>
  </si>
  <si>
    <t xml:space="preserve">04/22/2026 - BSI CISO</t>
  </si>
  <si>
    <t xml:space="preserve">Sec. 2, 3, 4.1.1 C1-C4, 4.2, 5, 8 steps 1-10, 8.1 C7</t>
  </si>
  <si>
    <t xml:space="preserve">A1, A3, A4, A6</t>
  </si>
  <si>
    <t xml:space="preserve">E03</t>
  </si>
  <si>
    <t xml:space="preserve">BSI.IT.27.C7.03 PAM Definition of Privilege.pdf (v10.0)</t>
  </si>
  <si>
    <t xml:space="preserve">03/11/2025</t>
  </si>
  <si>
    <t xml:space="preserve">Sec. 3.3 - the 4 in-scope privileged network AD groups</t>
  </si>
  <si>
    <t xml:space="preserve">Section 1; Section 3 row 3</t>
  </si>
  <si>
    <t xml:space="preserve">E04</t>
  </si>
  <si>
    <t xml:space="preserve">BSI.IT.27.C7.02 Q3_2025.xlsx</t>
  </si>
  <si>
    <t xml:space="preserve">SailPoint export, AD extract, Netwrix log</t>
  </si>
  <si>
    <t xml:space="preserve">2025 Q3 - PAM / IAM, InfoSec</t>
  </si>
  <si>
    <t xml:space="preserve">Rows 2538-2539: Revoked 08/28/2025 (Borges, Dayam); Netwrix removal 09/02/2025; AD extract 11/25/2025 row 1639</t>
  </si>
  <si>
    <t xml:space="preserve">A1-A6; O2, O3</t>
  </si>
  <si>
    <t xml:space="preserve">Section 3; Exhibit A3</t>
  </si>
  <si>
    <t xml:space="preserve">E05</t>
  </si>
  <si>
    <t xml:space="preserve">BSI.IT.27.C7.02 Q1 2026 Cert.xlsx</t>
  </si>
  <si>
    <t xml:space="preserve">SailPoint export, AD extract</t>
  </si>
  <si>
    <t xml:space="preserve">2026 Q1 - PAM / IAM</t>
  </si>
  <si>
    <t xml:space="preserve">Rows 3260 / 3265: Approved 04/30/2026; AD extract 05/15/2026 row 1636</t>
  </si>
  <si>
    <t xml:space="preserve">A1; O2, O3</t>
  </si>
  <si>
    <t xml:space="preserve">Section 3; Exhibit A4</t>
  </si>
  <si>
    <t xml:space="preserve">E06</t>
  </si>
  <si>
    <t xml:space="preserve">C7.Sample.xlsx (management response)</t>
  </si>
  <si>
    <t xml:space="preserve">SailPoint exports, AD user export, screenshots</t>
  </si>
  <si>
    <t xml:space="preserve">10/13/2026 - control owner</t>
  </si>
  <si>
    <t xml:space="preserve">SOX Manager rows 98-100; CyberArk Manager rows 431-433; CyberArk Owner 12 rows; Oct10_2026Users row 1621; SAMPLE tab screenshots</t>
  </si>
  <si>
    <t xml:space="preserve">O2, O3</t>
  </si>
  <si>
    <t xml:space="preserve">Exhibits A1, A2, A4, A5</t>
  </si>
  <si>
    <t xml:space="preserve">E07</t>
  </si>
  <si>
    <t xml:space="preserve">BSI.IT.27.C7.05 Testing Walkthrough - Combined with 2026 Q2 Sample.xlsx</t>
  </si>
  <si>
    <t xml:space="preserve">Testing workpaper</t>
  </si>
  <si>
    <t xml:space="preserve">10/2026 - IT RCSA</t>
  </si>
  <si>
    <t xml:space="preserve">3_Attribute Matrix rows 5-6; 4_Item Detail rows 19, 57, 107, 130; 7_Evidence Status</t>
  </si>
  <si>
    <t xml:space="preserve">A1-A6; O1-O3</t>
  </si>
  <si>
    <t xml:space="preserve">Evidence references; closing note</t>
  </si>
  <si>
    <t xml:space="preserve">E08</t>
  </si>
  <si>
    <t xml:space="preserve">Sample step taken.docx</t>
  </si>
  <si>
    <t xml:space="preserve">Request</t>
  </si>
  <si>
    <t xml:space="preserve">IT RCSA - Edward Morfa</t>
  </si>
  <si>
    <t xml:space="preserve">Request to the control owner for A6 evidence (10 accounts, including MIA25142)</t>
  </si>
  <si>
    <t xml:space="preserve">Evidence references</t>
  </si>
  <si>
    <t xml:space="preserve">Cross-reference: BSI.IT.27.C7_Design_WT_Sample_of_1_MIA25142.docx → this workbook</t>
  </si>
  <si>
    <t xml:space="preserve">Word document section / exhibit</t>
  </si>
  <si>
    <t xml:space="preserve">Content</t>
  </si>
  <si>
    <t xml:space="preserve">Workbook tab / range</t>
  </si>
  <si>
    <t xml:space="preserve">Summary box</t>
  </si>
  <si>
    <t xml:space="preserve">Design rating, sample result, observations, control, period, sample</t>
  </si>
  <si>
    <t xml:space="preserve">WP Summary!A4:B11</t>
  </si>
  <si>
    <t xml:space="preserve">Control statement</t>
  </si>
  <si>
    <t xml:space="preserve">WP Summary!B5</t>
  </si>
  <si>
    <t xml:space="preserve">1. Design Effectiveness Summary</t>
  </si>
  <si>
    <t xml:space="preserve">Design rating and 3 design observations</t>
  </si>
  <si>
    <t xml:space="preserve">WP Summary!B8</t>
  </si>
  <si>
    <t xml:space="preserve">2. WT Summary</t>
  </si>
  <si>
    <t xml:space="preserve">Process walkthrough; walkthrough meeting placeholder</t>
  </si>
  <si>
    <t xml:space="preserve">WP Summary!B11</t>
  </si>
  <si>
    <t xml:space="preserve">3. Sample of One – rows 1-8</t>
  </si>
  <si>
    <t xml:space="preserve">Attribute testing A1-A6</t>
  </si>
  <si>
    <t xml:space="preserve">Sample Attribute Testing!A5:G12</t>
  </si>
  <si>
    <t xml:space="preserve">3. Sample of One – rows 9-11</t>
  </si>
  <si>
    <t xml:space="preserve">Observations O1-O3</t>
  </si>
  <si>
    <t xml:space="preserve">Sample Attribute Testing!A15:G17</t>
  </si>
  <si>
    <t xml:space="preserve">3. Conclusion</t>
  </si>
  <si>
    <t xml:space="preserve">PASS – all attributes met</t>
  </si>
  <si>
    <t xml:space="preserve">WP Summary!B9; Sample Attribute Testing (result line)</t>
  </si>
  <si>
    <t xml:space="preserve">E01-E08</t>
  </si>
  <si>
    <t xml:space="preserve">Evidence Index!A5:G12</t>
  </si>
  <si>
    <t xml:space="preserve">Exhibit A1</t>
  </si>
  <si>
    <t xml:space="preserve">2026 Q2 SOX Manager certification screenshot (rows 98-100)</t>
  </si>
  <si>
    <t xml:space="preserve">Evidence Map (O2); Evidence Index E06</t>
  </si>
  <si>
    <t xml:space="preserve">Exhibit A2</t>
  </si>
  <si>
    <t xml:space="preserve">2026 Q2 CyberArk Manager certification screenshot (rows 431-433)</t>
  </si>
  <si>
    <t xml:space="preserve">Exhibit A3</t>
  </si>
  <si>
    <t xml:space="preserve">2025 Q3 revocation and Netwrix removal</t>
  </si>
  <si>
    <t xml:space="preserve">Evidence Map (A4-A6); Evidence Index E04</t>
  </si>
  <si>
    <t xml:space="preserve">Exhibit A4</t>
  </si>
  <si>
    <t xml:space="preserve">Account and access status after the revocation</t>
  </si>
  <si>
    <t xml:space="preserve">Evidence Map (O2, O3); Evidence Index E05, E06</t>
  </si>
  <si>
    <t xml:space="preserve">Exhibit A5</t>
  </si>
  <si>
    <t xml:space="preserve">AD user export command screenshot</t>
  </si>
  <si>
    <t xml:space="preserve">Evidence Map (O3); Evidence Index E06</t>
  </si>
</sst>
</file>

<file path=xl/styles.xml><?xml version="1.0" encoding="utf-8"?>
<styleSheet xmlns="http://schemas.openxmlformats.org/spreadsheetml/2006/main">
  <numFmts count="1">
    <numFmt numFmtId="164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006100"/>
      <name val="Arial"/>
      <family val="0"/>
      <charset val="1"/>
    </font>
    <font>
      <b val="true"/>
      <sz val="11"/>
      <color rgb="FF006100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4E78"/>
        <bgColor rgb="FF17365D"/>
      </patternFill>
    </fill>
    <fill>
      <patternFill patternType="solid">
        <fgColor rgb="FF17365D"/>
        <bgColor rgb="FF333333"/>
      </patternFill>
    </fill>
    <fill>
      <patternFill patternType="solid">
        <fgColor rgb="FFF1F5F9"/>
        <bgColor rgb="FFFFFFFF"/>
      </patternFill>
    </fill>
    <fill>
      <patternFill patternType="solid">
        <fgColor rgb="FFC6EFCE"/>
        <bgColor rgb="FFCCFFFF"/>
      </patternFill>
    </fill>
    <fill>
      <patternFill patternType="solid">
        <fgColor rgb="FFFFEB9C"/>
        <bgColor rgb="FFFFCC9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5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61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1F5F9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7365D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22"/>
  <sheetViews>
    <sheetView showFormulas="false" showGridLines="true" showRowColHeaders="true" showZeros="true" rightToLeft="false" tabSelected="tru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46"/>
    <col collapsed="false" customWidth="true" hidden="false" outlineLevel="0" max="3" min="3" style="0" width="4"/>
    <col collapsed="false" customWidth="true" hidden="false" outlineLevel="0" max="4" min="4" style="0" width="30"/>
    <col collapsed="false" customWidth="true" hidden="false" outlineLevel="0" max="7" min="5" style="0" width="12"/>
    <col collapsed="false" customWidth="true" hidden="false" outlineLevel="0" max="8" min="8" style="0" width="30"/>
  </cols>
  <sheetData>
    <row r="1" customFormat="false" ht="25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3" customFormat="false" ht="31.5" hidden="false" customHeight="true" outlineLevel="0" collapsed="false">
      <c r="A3" s="3"/>
      <c r="B3" s="3"/>
      <c r="C3" s="3"/>
      <c r="D3" s="4" t="s">
        <v>2</v>
      </c>
      <c r="E3" s="4" t="s">
        <v>3</v>
      </c>
      <c r="F3" s="4" t="s">
        <v>4</v>
      </c>
      <c r="G3" s="4" t="s">
        <v>5</v>
      </c>
      <c r="H3" s="4" t="s">
        <v>6</v>
      </c>
    </row>
    <row r="4" customFormat="false" ht="33.75" hidden="false" customHeight="true" outlineLevel="0" collapsed="false">
      <c r="A4" s="5" t="s">
        <v>7</v>
      </c>
      <c r="B4" s="6" t="s">
        <v>8</v>
      </c>
      <c r="D4" s="6" t="s">
        <v>9</v>
      </c>
      <c r="E4" s="6" t="n">
        <f aca="false">COUNTA('Sample Attribute Testing'!E5:E12)</f>
        <v>8</v>
      </c>
      <c r="F4" s="6" t="n">
        <f aca="false">COUNTIF('Sample Attribute Testing'!E5:E12,"PASS")</f>
        <v>8</v>
      </c>
      <c r="G4" s="6" t="n">
        <f aca="false">E4-F4</f>
        <v>0</v>
      </c>
      <c r="H4" s="7" t="str">
        <f aca="false">IF(G4=0,"PASS","FAIL")</f>
        <v>PASS</v>
      </c>
    </row>
    <row r="5" customFormat="false" ht="72" hidden="false" customHeight="true" outlineLevel="0" collapsed="false">
      <c r="A5" s="5" t="s">
        <v>10</v>
      </c>
      <c r="B5" s="6" t="s">
        <v>11</v>
      </c>
      <c r="D5" s="6" t="s">
        <v>12</v>
      </c>
      <c r="E5" s="6" t="n">
        <f aca="false">1</f>
        <v>1</v>
      </c>
      <c r="F5" s="6" t="n">
        <f aca="false">COUNTIF('Sample Attribute Testing'!E11:E12,"PASS")/2</f>
        <v>1</v>
      </c>
      <c r="G5" s="6" t="n">
        <f aca="false">E5-F5</f>
        <v>0</v>
      </c>
      <c r="H5" s="7" t="str">
        <f aca="false">IF(G5=0,"PASS","FAIL")</f>
        <v>PASS</v>
      </c>
    </row>
    <row r="6" customFormat="false" ht="33.75" hidden="false" customHeight="true" outlineLevel="0" collapsed="false">
      <c r="A6" s="5" t="s">
        <v>13</v>
      </c>
      <c r="B6" s="6" t="s">
        <v>14</v>
      </c>
      <c r="D6" s="6" t="s">
        <v>15</v>
      </c>
      <c r="E6" s="6" t="n">
        <f aca="false">COUNTA('Sample Attribute Testing'!A15:A17)</f>
        <v>3</v>
      </c>
      <c r="F6" s="6" t="n">
        <f aca="false">0</f>
        <v>0</v>
      </c>
      <c r="G6" s="6" t="n">
        <v>0</v>
      </c>
      <c r="H6" s="8" t="s">
        <v>16</v>
      </c>
    </row>
    <row r="7" customFormat="false" ht="33.75" hidden="false" customHeight="true" outlineLevel="0" collapsed="false">
      <c r="A7" s="5" t="s">
        <v>17</v>
      </c>
      <c r="B7" s="6" t="s">
        <v>18</v>
      </c>
    </row>
    <row r="8" customFormat="false" ht="33.75" hidden="false" customHeight="true" outlineLevel="0" collapsed="false">
      <c r="A8" s="5" t="s">
        <v>19</v>
      </c>
      <c r="B8" s="6" t="s">
        <v>20</v>
      </c>
    </row>
    <row r="9" customFormat="false" ht="33.75" hidden="false" customHeight="true" outlineLevel="0" collapsed="false">
      <c r="A9" s="5" t="s">
        <v>21</v>
      </c>
      <c r="B9" s="9" t="str">
        <f aca="false">IF(COUNTIF('Sample Attribute Testing'!E5:E12,"PASS")=COUNTA('Sample Attribute Testing'!E5:E12),"PASS – all attributes met","FAIL")</f>
        <v>PASS – all attributes met</v>
      </c>
    </row>
    <row r="10" customFormat="false" ht="33.75" hidden="false" customHeight="true" outlineLevel="0" collapsed="false">
      <c r="A10" s="5" t="s">
        <v>22</v>
      </c>
      <c r="B10" s="6" t="s">
        <v>23</v>
      </c>
    </row>
    <row r="11" customFormat="false" ht="33.75" hidden="false" customHeight="true" outlineLevel="0" collapsed="false">
      <c r="A11" s="5" t="s">
        <v>24</v>
      </c>
      <c r="B11" s="6" t="s">
        <v>25</v>
      </c>
    </row>
    <row r="13" customFormat="false" ht="15" hidden="false" customHeight="false" outlineLevel="0" collapsed="false">
      <c r="A13" s="10" t="s">
        <v>26</v>
      </c>
      <c r="B13" s="10"/>
      <c r="C13" s="10"/>
      <c r="D13" s="10"/>
      <c r="E13" s="10"/>
      <c r="F13" s="10"/>
      <c r="G13" s="10"/>
      <c r="H13" s="10"/>
    </row>
    <row r="14" customFormat="false" ht="31.5" hidden="false" customHeight="true" outlineLevel="0" collapsed="false">
      <c r="A14" s="4" t="s">
        <v>27</v>
      </c>
      <c r="B14" s="4" t="s">
        <v>28</v>
      </c>
      <c r="C14" s="4"/>
      <c r="D14" s="4" t="s">
        <v>29</v>
      </c>
      <c r="E14" s="4"/>
      <c r="F14" s="4"/>
      <c r="G14" s="4"/>
      <c r="H14" s="4" t="s">
        <v>30</v>
      </c>
    </row>
    <row r="15" customFormat="false" ht="31.5" hidden="false" customHeight="true" outlineLevel="0" collapsed="false">
      <c r="A15" s="11" t="s">
        <v>31</v>
      </c>
      <c r="B15" s="6" t="s">
        <v>32</v>
      </c>
      <c r="C15" s="6"/>
      <c r="D15" s="11" t="s">
        <v>33</v>
      </c>
      <c r="E15" s="11"/>
      <c r="F15" s="11"/>
      <c r="G15" s="11"/>
      <c r="H15" s="6" t="s">
        <v>34</v>
      </c>
    </row>
    <row r="16" customFormat="false" ht="31.5" hidden="false" customHeight="true" outlineLevel="0" collapsed="false">
      <c r="A16" s="11" t="s">
        <v>35</v>
      </c>
      <c r="B16" s="6" t="s">
        <v>36</v>
      </c>
      <c r="C16" s="6"/>
      <c r="D16" s="12" t="s">
        <v>37</v>
      </c>
      <c r="E16" s="12"/>
      <c r="F16" s="12"/>
      <c r="G16" s="12"/>
      <c r="H16" s="6" t="s">
        <v>38</v>
      </c>
    </row>
    <row r="17" customFormat="false" ht="31.5" hidden="false" customHeight="true" outlineLevel="0" collapsed="false">
      <c r="A17" s="11" t="s">
        <v>39</v>
      </c>
      <c r="B17" s="6" t="s">
        <v>40</v>
      </c>
      <c r="C17" s="6"/>
      <c r="D17" s="12" t="s">
        <v>37</v>
      </c>
      <c r="E17" s="12"/>
      <c r="F17" s="12"/>
      <c r="G17" s="12"/>
      <c r="H17" s="6" t="s">
        <v>41</v>
      </c>
    </row>
    <row r="18" customFormat="false" ht="31.5" hidden="false" customHeight="true" outlineLevel="0" collapsed="false">
      <c r="A18" s="11" t="s">
        <v>42</v>
      </c>
      <c r="B18" s="6" t="s">
        <v>43</v>
      </c>
      <c r="C18" s="6"/>
      <c r="D18" s="12" t="s">
        <v>44</v>
      </c>
      <c r="E18" s="12"/>
      <c r="F18" s="12"/>
      <c r="G18" s="12"/>
      <c r="H18" s="6" t="s">
        <v>45</v>
      </c>
    </row>
    <row r="19" customFormat="false" ht="31.5" hidden="false" customHeight="true" outlineLevel="0" collapsed="false">
      <c r="A19" s="11" t="s">
        <v>46</v>
      </c>
      <c r="B19" s="6" t="s">
        <v>47</v>
      </c>
      <c r="C19" s="6"/>
      <c r="D19" s="13" t="s">
        <v>48</v>
      </c>
      <c r="E19" s="13"/>
      <c r="F19" s="13"/>
      <c r="G19" s="13"/>
      <c r="H19" s="6" t="s">
        <v>49</v>
      </c>
    </row>
    <row r="20" customFormat="false" ht="31.5" hidden="false" customHeight="true" outlineLevel="0" collapsed="false">
      <c r="A20" s="11" t="s">
        <v>50</v>
      </c>
      <c r="B20" s="6" t="s">
        <v>51</v>
      </c>
      <c r="C20" s="6"/>
      <c r="D20" s="12" t="s">
        <v>37</v>
      </c>
      <c r="E20" s="12"/>
      <c r="F20" s="12"/>
      <c r="G20" s="12"/>
      <c r="H20" s="6" t="s">
        <v>52</v>
      </c>
    </row>
    <row r="22" customFormat="false" ht="45" hidden="false" customHeight="true" outlineLevel="0" collapsed="false">
      <c r="A22" s="14" t="s">
        <v>53</v>
      </c>
      <c r="B22" s="15" t="s">
        <v>54</v>
      </c>
      <c r="C22" s="15"/>
      <c r="D22" s="15"/>
      <c r="E22" s="15"/>
      <c r="F22" s="15"/>
      <c r="G22" s="15"/>
      <c r="H22" s="15"/>
    </row>
  </sheetData>
  <mergeCells count="16">
    <mergeCell ref="A1:H1"/>
    <mergeCell ref="A2:H2"/>
    <mergeCell ref="A13:H13"/>
    <mergeCell ref="B15:C15"/>
    <mergeCell ref="D15:G15"/>
    <mergeCell ref="B16:C16"/>
    <mergeCell ref="D16:G16"/>
    <mergeCell ref="B17:C17"/>
    <mergeCell ref="D17:G17"/>
    <mergeCell ref="B18:C18"/>
    <mergeCell ref="D18:G18"/>
    <mergeCell ref="B19:C19"/>
    <mergeCell ref="D19:G19"/>
    <mergeCell ref="B20:C20"/>
    <mergeCell ref="D20:G20"/>
    <mergeCell ref="B22:H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19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40"/>
    <col collapsed="false" customWidth="true" hidden="false" outlineLevel="0" max="3" min="3" style="0" width="60"/>
    <col collapsed="false" customWidth="true" hidden="false" outlineLevel="0" max="4" min="4" style="0" width="40"/>
    <col collapsed="false" customWidth="true" hidden="false" outlineLevel="0" max="5" min="5" style="0" width="14"/>
    <col collapsed="false" customWidth="true" hidden="false" outlineLevel="0" max="6" min="6" style="0" width="26"/>
    <col collapsed="false" customWidth="true" hidden="false" outlineLevel="0" max="7" min="7" style="0" width="40"/>
  </cols>
  <sheetData>
    <row r="1" customFormat="false" ht="25.5" hidden="false" customHeight="true" outlineLevel="0" collapsed="false">
      <c r="A1" s="1" t="s">
        <v>55</v>
      </c>
      <c r="B1" s="1"/>
      <c r="C1" s="1"/>
      <c r="D1" s="1"/>
      <c r="E1" s="1"/>
      <c r="F1" s="1"/>
      <c r="G1" s="1"/>
    </row>
    <row r="2" customFormat="false" ht="15" hidden="false" customHeight="false" outlineLevel="0" collapsed="false">
      <c r="A2" s="2" t="s">
        <v>56</v>
      </c>
      <c r="B2" s="2"/>
      <c r="C2" s="2"/>
      <c r="D2" s="2"/>
      <c r="E2" s="2"/>
      <c r="F2" s="2"/>
      <c r="G2" s="2"/>
    </row>
    <row r="4" customFormat="false" ht="31.5" hidden="false" customHeight="true" outlineLevel="0" collapsed="false">
      <c r="A4" s="4" t="s">
        <v>57</v>
      </c>
      <c r="B4" s="4" t="s">
        <v>58</v>
      </c>
      <c r="C4" s="4" t="s">
        <v>59</v>
      </c>
      <c r="D4" s="4" t="s">
        <v>60</v>
      </c>
      <c r="E4" s="4" t="s">
        <v>29</v>
      </c>
      <c r="F4" s="4" t="s">
        <v>30</v>
      </c>
      <c r="G4" s="4" t="s">
        <v>61</v>
      </c>
    </row>
    <row r="5" customFormat="false" ht="45" hidden="false" customHeight="true" outlineLevel="0" collapsed="false">
      <c r="A5" s="11" t="s">
        <v>62</v>
      </c>
      <c r="B5" s="6" t="s">
        <v>63</v>
      </c>
      <c r="C5" s="6" t="s">
        <v>64</v>
      </c>
      <c r="D5" s="6" t="s">
        <v>65</v>
      </c>
      <c r="E5" s="12" t="s">
        <v>37</v>
      </c>
      <c r="F5" s="6" t="s">
        <v>66</v>
      </c>
      <c r="G5" s="6" t="s">
        <v>67</v>
      </c>
    </row>
    <row r="6" customFormat="false" ht="45" hidden="false" customHeight="true" outlineLevel="0" collapsed="false">
      <c r="A6" s="11" t="s">
        <v>62</v>
      </c>
      <c r="B6" s="6" t="s">
        <v>68</v>
      </c>
      <c r="C6" s="6" t="s">
        <v>69</v>
      </c>
      <c r="D6" s="6" t="s">
        <v>70</v>
      </c>
      <c r="E6" s="12" t="s">
        <v>37</v>
      </c>
      <c r="F6" s="6" t="s">
        <v>71</v>
      </c>
      <c r="G6" s="6" t="s">
        <v>67</v>
      </c>
    </row>
    <row r="7" customFormat="false" ht="45" hidden="false" customHeight="true" outlineLevel="0" collapsed="false">
      <c r="A7" s="11" t="s">
        <v>72</v>
      </c>
      <c r="B7" s="6" t="s">
        <v>73</v>
      </c>
      <c r="C7" s="6" t="s">
        <v>74</v>
      </c>
      <c r="D7" s="6" t="s">
        <v>75</v>
      </c>
      <c r="E7" s="12" t="s">
        <v>37</v>
      </c>
      <c r="F7" s="6" t="s">
        <v>76</v>
      </c>
      <c r="G7" s="6" t="s">
        <v>77</v>
      </c>
    </row>
    <row r="8" customFormat="false" ht="45" hidden="false" customHeight="true" outlineLevel="0" collapsed="false">
      <c r="A8" s="11" t="s">
        <v>78</v>
      </c>
      <c r="B8" s="6" t="s">
        <v>79</v>
      </c>
      <c r="C8" s="6" t="s">
        <v>80</v>
      </c>
      <c r="D8" s="6" t="s">
        <v>81</v>
      </c>
      <c r="E8" s="12" t="s">
        <v>37</v>
      </c>
      <c r="F8" s="6" t="s">
        <v>82</v>
      </c>
      <c r="G8" s="6" t="s">
        <v>83</v>
      </c>
    </row>
    <row r="9" customFormat="false" ht="45" hidden="false" customHeight="true" outlineLevel="0" collapsed="false">
      <c r="A9" s="11" t="s">
        <v>84</v>
      </c>
      <c r="B9" s="6" t="s">
        <v>85</v>
      </c>
      <c r="C9" s="6" t="s">
        <v>86</v>
      </c>
      <c r="D9" s="6" t="s">
        <v>87</v>
      </c>
      <c r="E9" s="12" t="s">
        <v>37</v>
      </c>
      <c r="F9" s="6" t="s">
        <v>88</v>
      </c>
      <c r="G9" s="6" t="s">
        <v>89</v>
      </c>
    </row>
    <row r="10" customFormat="false" ht="45" hidden="false" customHeight="true" outlineLevel="0" collapsed="false">
      <c r="A10" s="11" t="s">
        <v>90</v>
      </c>
      <c r="B10" s="6" t="s">
        <v>91</v>
      </c>
      <c r="C10" s="6" t="s">
        <v>92</v>
      </c>
      <c r="D10" s="6" t="s">
        <v>93</v>
      </c>
      <c r="E10" s="12" t="s">
        <v>37</v>
      </c>
      <c r="F10" s="6" t="s">
        <v>94</v>
      </c>
      <c r="G10" s="6" t="s">
        <v>95</v>
      </c>
    </row>
    <row r="11" customFormat="false" ht="45" hidden="false" customHeight="true" outlineLevel="0" collapsed="false">
      <c r="A11" s="11" t="s">
        <v>96</v>
      </c>
      <c r="B11" s="6" t="s">
        <v>97</v>
      </c>
      <c r="C11" s="6" t="s">
        <v>98</v>
      </c>
      <c r="D11" s="6" t="s">
        <v>99</v>
      </c>
      <c r="E11" s="12" t="s">
        <v>37</v>
      </c>
      <c r="F11" s="6" t="s">
        <v>100</v>
      </c>
      <c r="G11" s="6" t="s">
        <v>101</v>
      </c>
    </row>
    <row r="12" customFormat="false" ht="45" hidden="false" customHeight="true" outlineLevel="0" collapsed="false">
      <c r="A12" s="11" t="s">
        <v>96</v>
      </c>
      <c r="B12" s="6" t="s">
        <v>102</v>
      </c>
      <c r="C12" s="6" t="s">
        <v>103</v>
      </c>
      <c r="D12" s="6" t="s">
        <v>104</v>
      </c>
      <c r="E12" s="12" t="s">
        <v>37</v>
      </c>
      <c r="F12" s="6" t="s">
        <v>105</v>
      </c>
      <c r="G12" s="6" t="s">
        <v>101</v>
      </c>
    </row>
    <row r="14" customFormat="false" ht="15" hidden="false" customHeight="false" outlineLevel="0" collapsed="false">
      <c r="A14" s="10" t="s">
        <v>15</v>
      </c>
      <c r="B14" s="10"/>
      <c r="C14" s="10"/>
      <c r="D14" s="10"/>
      <c r="E14" s="10"/>
      <c r="F14" s="10"/>
      <c r="G14" s="10"/>
    </row>
    <row r="15" customFormat="false" ht="69.75" hidden="false" customHeight="true" outlineLevel="0" collapsed="false">
      <c r="A15" s="11" t="s">
        <v>106</v>
      </c>
      <c r="B15" s="6" t="s">
        <v>107</v>
      </c>
      <c r="C15" s="6" t="s">
        <v>108</v>
      </c>
      <c r="D15" s="6" t="s">
        <v>109</v>
      </c>
      <c r="E15" s="13" t="s">
        <v>16</v>
      </c>
      <c r="F15" s="6" t="s">
        <v>110</v>
      </c>
      <c r="G15" s="6" t="s">
        <v>111</v>
      </c>
    </row>
    <row r="16" customFormat="false" ht="69.75" hidden="false" customHeight="true" outlineLevel="0" collapsed="false">
      <c r="A16" s="11" t="s">
        <v>112</v>
      </c>
      <c r="B16" s="6" t="s">
        <v>113</v>
      </c>
      <c r="C16" s="6" t="s">
        <v>114</v>
      </c>
      <c r="D16" s="6" t="s">
        <v>115</v>
      </c>
      <c r="E16" s="13" t="s">
        <v>16</v>
      </c>
      <c r="F16" s="6" t="s">
        <v>116</v>
      </c>
      <c r="G16" s="6" t="s">
        <v>117</v>
      </c>
    </row>
    <row r="17" customFormat="false" ht="69.75" hidden="false" customHeight="true" outlineLevel="0" collapsed="false">
      <c r="A17" s="11" t="s">
        <v>118</v>
      </c>
      <c r="B17" s="6" t="s">
        <v>119</v>
      </c>
      <c r="C17" s="6" t="s">
        <v>120</v>
      </c>
      <c r="D17" s="6" t="s">
        <v>121</v>
      </c>
      <c r="E17" s="13" t="s">
        <v>16</v>
      </c>
      <c r="F17" s="6" t="s">
        <v>122</v>
      </c>
      <c r="G17" s="6" t="s">
        <v>123</v>
      </c>
    </row>
    <row r="19" customFormat="false" ht="15" hidden="false" customHeight="false" outlineLevel="0" collapsed="false">
      <c r="A19" s="16" t="str">
        <f aca="false">"Sample result: "&amp;IF(COUNTIF(E5:E12,"PASS")=COUNTA(E5:E12),"PASS","FAIL")&amp;" – "&amp;COUNTIF(E5:E12,"PASS")&amp;" of "&amp;COUNTA(E5:E12)&amp;" attribute checks passed; "&amp;COUNTA(A15:A17)&amp;" observations."</f>
        <v>Sample result: PASS – 8 of 8 attribute checks passed; 3 observations.</v>
      </c>
      <c r="B19" s="16"/>
      <c r="C19" s="16"/>
      <c r="D19" s="16"/>
      <c r="E19" s="16"/>
      <c r="F19" s="16"/>
      <c r="G19" s="16"/>
    </row>
  </sheetData>
  <mergeCells count="4">
    <mergeCell ref="A1:G1"/>
    <mergeCell ref="A2:G2"/>
    <mergeCell ref="A14:G14"/>
    <mergeCell ref="A19:G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15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40"/>
    <col collapsed="false" customWidth="true" hidden="false" outlineLevel="0" max="3" min="3" style="0" width="50"/>
    <col collapsed="false" customWidth="true" hidden="false" outlineLevel="0" max="4" min="4" style="0" width="46"/>
    <col collapsed="false" customWidth="true" hidden="false" outlineLevel="0" max="5" min="5" style="0" width="30"/>
  </cols>
  <sheetData>
    <row r="1" customFormat="false" ht="25.5" hidden="false" customHeight="true" outlineLevel="0" collapsed="false">
      <c r="A1" s="1" t="s">
        <v>124</v>
      </c>
      <c r="B1" s="1"/>
      <c r="C1" s="1"/>
      <c r="D1" s="1"/>
      <c r="E1" s="1"/>
    </row>
    <row r="2" customFormat="false" ht="15" hidden="false" customHeight="false" outlineLevel="0" collapsed="false">
      <c r="A2" s="2" t="s">
        <v>125</v>
      </c>
      <c r="B2" s="2"/>
      <c r="C2" s="2"/>
      <c r="D2" s="2"/>
      <c r="E2" s="2"/>
    </row>
    <row r="4" customFormat="false" ht="31.5" hidden="false" customHeight="true" outlineLevel="0" collapsed="false">
      <c r="A4" s="4" t="s">
        <v>57</v>
      </c>
      <c r="B4" s="4" t="s">
        <v>58</v>
      </c>
      <c r="C4" s="4" t="s">
        <v>126</v>
      </c>
      <c r="D4" s="4" t="s">
        <v>127</v>
      </c>
      <c r="E4" s="4" t="s">
        <v>30</v>
      </c>
    </row>
    <row r="5" customFormat="false" ht="36" hidden="false" customHeight="true" outlineLevel="0" collapsed="false">
      <c r="A5" s="11" t="s">
        <v>62</v>
      </c>
      <c r="B5" s="6" t="s">
        <v>63</v>
      </c>
      <c r="C5" s="6" t="s">
        <v>128</v>
      </c>
      <c r="D5" s="6" t="s">
        <v>129</v>
      </c>
      <c r="E5" s="6" t="s">
        <v>66</v>
      </c>
    </row>
    <row r="6" customFormat="false" ht="36" hidden="false" customHeight="true" outlineLevel="0" collapsed="false">
      <c r="A6" s="11" t="s">
        <v>62</v>
      </c>
      <c r="B6" s="6" t="s">
        <v>68</v>
      </c>
      <c r="C6" s="6" t="s">
        <v>130</v>
      </c>
      <c r="D6" s="6" t="s">
        <v>131</v>
      </c>
      <c r="E6" s="6" t="s">
        <v>71</v>
      </c>
    </row>
    <row r="7" customFormat="false" ht="36" hidden="false" customHeight="true" outlineLevel="0" collapsed="false">
      <c r="A7" s="11" t="s">
        <v>72</v>
      </c>
      <c r="B7" s="6" t="s">
        <v>73</v>
      </c>
      <c r="C7" s="6" t="s">
        <v>132</v>
      </c>
      <c r="D7" s="6" t="s">
        <v>133</v>
      </c>
      <c r="E7" s="6" t="s">
        <v>76</v>
      </c>
    </row>
    <row r="8" customFormat="false" ht="36" hidden="false" customHeight="true" outlineLevel="0" collapsed="false">
      <c r="A8" s="11" t="s">
        <v>78</v>
      </c>
      <c r="B8" s="6" t="s">
        <v>79</v>
      </c>
      <c r="C8" s="6" t="s">
        <v>130</v>
      </c>
      <c r="D8" s="6" t="s">
        <v>134</v>
      </c>
      <c r="E8" s="6" t="s">
        <v>82</v>
      </c>
    </row>
    <row r="9" customFormat="false" ht="36" hidden="false" customHeight="true" outlineLevel="0" collapsed="false">
      <c r="A9" s="11" t="s">
        <v>84</v>
      </c>
      <c r="B9" s="6" t="s">
        <v>85</v>
      </c>
      <c r="C9" s="6" t="s">
        <v>130</v>
      </c>
      <c r="D9" s="6" t="s">
        <v>135</v>
      </c>
      <c r="E9" s="6" t="s">
        <v>88</v>
      </c>
    </row>
    <row r="10" customFormat="false" ht="36" hidden="false" customHeight="true" outlineLevel="0" collapsed="false">
      <c r="A10" s="11" t="s">
        <v>90</v>
      </c>
      <c r="B10" s="6" t="s">
        <v>91</v>
      </c>
      <c r="C10" s="6" t="s">
        <v>130</v>
      </c>
      <c r="D10" s="6" t="s">
        <v>136</v>
      </c>
      <c r="E10" s="6" t="s">
        <v>94</v>
      </c>
    </row>
    <row r="11" customFormat="false" ht="36" hidden="false" customHeight="true" outlineLevel="0" collapsed="false">
      <c r="A11" s="11" t="s">
        <v>96</v>
      </c>
      <c r="B11" s="6" t="s">
        <v>97</v>
      </c>
      <c r="C11" s="6" t="s">
        <v>137</v>
      </c>
      <c r="D11" s="6" t="s">
        <v>138</v>
      </c>
      <c r="E11" s="6" t="s">
        <v>100</v>
      </c>
    </row>
    <row r="12" customFormat="false" ht="36" hidden="false" customHeight="true" outlineLevel="0" collapsed="false">
      <c r="A12" s="11" t="s">
        <v>96</v>
      </c>
      <c r="B12" s="6" t="s">
        <v>102</v>
      </c>
      <c r="C12" s="6" t="s">
        <v>139</v>
      </c>
      <c r="D12" s="6" t="s">
        <v>140</v>
      </c>
      <c r="E12" s="6" t="s">
        <v>105</v>
      </c>
    </row>
    <row r="13" customFormat="false" ht="48" hidden="false" customHeight="true" outlineLevel="0" collapsed="false">
      <c r="A13" s="11" t="s">
        <v>106</v>
      </c>
      <c r="B13" s="6" t="s">
        <v>107</v>
      </c>
      <c r="C13" s="6" t="s">
        <v>141</v>
      </c>
      <c r="D13" s="6" t="s">
        <v>142</v>
      </c>
      <c r="E13" s="6" t="s">
        <v>110</v>
      </c>
    </row>
    <row r="14" customFormat="false" ht="48" hidden="false" customHeight="true" outlineLevel="0" collapsed="false">
      <c r="A14" s="11" t="s">
        <v>112</v>
      </c>
      <c r="B14" s="6" t="s">
        <v>113</v>
      </c>
      <c r="C14" s="6" t="s">
        <v>143</v>
      </c>
      <c r="D14" s="6" t="s">
        <v>144</v>
      </c>
      <c r="E14" s="6" t="s">
        <v>116</v>
      </c>
    </row>
    <row r="15" customFormat="false" ht="48" hidden="false" customHeight="true" outlineLevel="0" collapsed="false">
      <c r="A15" s="11" t="s">
        <v>118</v>
      </c>
      <c r="B15" s="6" t="s">
        <v>119</v>
      </c>
      <c r="C15" s="6" t="s">
        <v>143</v>
      </c>
      <c r="D15" s="6" t="s">
        <v>145</v>
      </c>
      <c r="E15" s="6" t="s">
        <v>122</v>
      </c>
    </row>
  </sheetData>
  <mergeCells count="2">
    <mergeCell ref="A1:E1"/>
    <mergeCell ref="A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12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52"/>
    <col collapsed="false" customWidth="true" hidden="false" outlineLevel="0" max="3" min="3" style="0" width="22"/>
    <col collapsed="false" customWidth="true" hidden="false" outlineLevel="0" max="4" min="4" style="0" width="28"/>
    <col collapsed="false" customWidth="true" hidden="false" outlineLevel="0" max="5" min="5" style="0" width="60"/>
    <col collapsed="false" customWidth="true" hidden="false" outlineLevel="0" max="6" min="6" style="0" width="18"/>
    <col collapsed="false" customWidth="true" hidden="false" outlineLevel="0" max="7" min="7" style="0" width="28"/>
  </cols>
  <sheetData>
    <row r="1" customFormat="false" ht="25.5" hidden="false" customHeight="true" outlineLevel="0" collapsed="false">
      <c r="A1" s="1" t="s">
        <v>146</v>
      </c>
      <c r="B1" s="1"/>
      <c r="C1" s="1"/>
      <c r="D1" s="1"/>
      <c r="E1" s="1"/>
      <c r="F1" s="1"/>
      <c r="G1" s="1"/>
    </row>
    <row r="2" customFormat="false" ht="15" hidden="false" customHeight="false" outlineLevel="0" collapsed="false">
      <c r="A2" s="2" t="s">
        <v>147</v>
      </c>
      <c r="B2" s="2"/>
      <c r="C2" s="2"/>
      <c r="D2" s="2"/>
      <c r="E2" s="2"/>
      <c r="F2" s="2"/>
      <c r="G2" s="2"/>
    </row>
    <row r="4" customFormat="false" ht="31.5" hidden="false" customHeight="true" outlineLevel="0" collapsed="false">
      <c r="A4" s="4" t="s">
        <v>148</v>
      </c>
      <c r="B4" s="4" t="s">
        <v>149</v>
      </c>
      <c r="C4" s="4" t="s">
        <v>150</v>
      </c>
      <c r="D4" s="4" t="s">
        <v>151</v>
      </c>
      <c r="E4" s="4" t="s">
        <v>152</v>
      </c>
      <c r="F4" s="4" t="s">
        <v>153</v>
      </c>
      <c r="G4" s="4" t="s">
        <v>30</v>
      </c>
    </row>
    <row r="5" customFormat="false" ht="45" hidden="false" customHeight="true" outlineLevel="0" collapsed="false">
      <c r="A5" s="11" t="s">
        <v>154</v>
      </c>
      <c r="B5" s="6" t="s">
        <v>155</v>
      </c>
      <c r="C5" s="6" t="s">
        <v>156</v>
      </c>
      <c r="D5" s="6" t="s">
        <v>157</v>
      </c>
      <c r="E5" s="6" t="s">
        <v>158</v>
      </c>
      <c r="F5" s="6" t="s">
        <v>159</v>
      </c>
      <c r="G5" s="6" t="s">
        <v>160</v>
      </c>
    </row>
    <row r="6" customFormat="false" ht="45" hidden="false" customHeight="true" outlineLevel="0" collapsed="false">
      <c r="A6" s="11" t="s">
        <v>161</v>
      </c>
      <c r="B6" s="6" t="s">
        <v>162</v>
      </c>
      <c r="C6" s="6" t="s">
        <v>28</v>
      </c>
      <c r="D6" s="6" t="s">
        <v>163</v>
      </c>
      <c r="E6" s="6" t="s">
        <v>164</v>
      </c>
      <c r="F6" s="6" t="s">
        <v>165</v>
      </c>
      <c r="G6" s="6" t="s">
        <v>160</v>
      </c>
    </row>
    <row r="7" customFormat="false" ht="45" hidden="false" customHeight="true" outlineLevel="0" collapsed="false">
      <c r="A7" s="11" t="s">
        <v>166</v>
      </c>
      <c r="B7" s="6" t="s">
        <v>167</v>
      </c>
      <c r="C7" s="6" t="s">
        <v>156</v>
      </c>
      <c r="D7" s="6" t="s">
        <v>168</v>
      </c>
      <c r="E7" s="6" t="s">
        <v>169</v>
      </c>
      <c r="F7" s="6" t="s">
        <v>72</v>
      </c>
      <c r="G7" s="6" t="s">
        <v>170</v>
      </c>
    </row>
    <row r="8" customFormat="false" ht="45" hidden="false" customHeight="true" outlineLevel="0" collapsed="false">
      <c r="A8" s="11" t="s">
        <v>171</v>
      </c>
      <c r="B8" s="6" t="s">
        <v>172</v>
      </c>
      <c r="C8" s="6" t="s">
        <v>173</v>
      </c>
      <c r="D8" s="6" t="s">
        <v>174</v>
      </c>
      <c r="E8" s="6" t="s">
        <v>175</v>
      </c>
      <c r="F8" s="6" t="s">
        <v>176</v>
      </c>
      <c r="G8" s="6" t="s">
        <v>177</v>
      </c>
    </row>
    <row r="9" customFormat="false" ht="45" hidden="false" customHeight="true" outlineLevel="0" collapsed="false">
      <c r="A9" s="11" t="s">
        <v>178</v>
      </c>
      <c r="B9" s="6" t="s">
        <v>179</v>
      </c>
      <c r="C9" s="6" t="s">
        <v>180</v>
      </c>
      <c r="D9" s="6" t="s">
        <v>181</v>
      </c>
      <c r="E9" s="6" t="s">
        <v>182</v>
      </c>
      <c r="F9" s="6" t="s">
        <v>183</v>
      </c>
      <c r="G9" s="6" t="s">
        <v>184</v>
      </c>
    </row>
    <row r="10" customFormat="false" ht="45" hidden="false" customHeight="true" outlineLevel="0" collapsed="false">
      <c r="A10" s="11" t="s">
        <v>185</v>
      </c>
      <c r="B10" s="6" t="s">
        <v>186</v>
      </c>
      <c r="C10" s="6" t="s">
        <v>187</v>
      </c>
      <c r="D10" s="6" t="s">
        <v>188</v>
      </c>
      <c r="E10" s="6" t="s">
        <v>189</v>
      </c>
      <c r="F10" s="6" t="s">
        <v>190</v>
      </c>
      <c r="G10" s="6" t="s">
        <v>191</v>
      </c>
    </row>
    <row r="11" customFormat="false" ht="45" hidden="false" customHeight="true" outlineLevel="0" collapsed="false">
      <c r="A11" s="11" t="s">
        <v>192</v>
      </c>
      <c r="B11" s="6" t="s">
        <v>193</v>
      </c>
      <c r="C11" s="6" t="s">
        <v>194</v>
      </c>
      <c r="D11" s="6" t="s">
        <v>195</v>
      </c>
      <c r="E11" s="6" t="s">
        <v>196</v>
      </c>
      <c r="F11" s="6" t="s">
        <v>197</v>
      </c>
      <c r="G11" s="6" t="s">
        <v>198</v>
      </c>
    </row>
    <row r="12" customFormat="false" ht="45" hidden="false" customHeight="true" outlineLevel="0" collapsed="false">
      <c r="A12" s="11" t="s">
        <v>199</v>
      </c>
      <c r="B12" s="6" t="s">
        <v>200</v>
      </c>
      <c r="C12" s="6" t="s">
        <v>201</v>
      </c>
      <c r="D12" s="6" t="s">
        <v>202</v>
      </c>
      <c r="E12" s="6" t="s">
        <v>203</v>
      </c>
      <c r="F12" s="6" t="s">
        <v>96</v>
      </c>
      <c r="G12" s="6" t="s">
        <v>204</v>
      </c>
    </row>
  </sheetData>
  <mergeCells count="2">
    <mergeCell ref="A1:G1"/>
    <mergeCell ref="A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C16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70"/>
    <col collapsed="false" customWidth="true" hidden="false" outlineLevel="0" max="3" min="3" style="0" width="40"/>
  </cols>
  <sheetData>
    <row r="1" customFormat="false" ht="25.5" hidden="false" customHeight="true" outlineLevel="0" collapsed="false">
      <c r="A1" s="1" t="s">
        <v>205</v>
      </c>
      <c r="B1" s="1"/>
      <c r="C1" s="1"/>
    </row>
    <row r="3" customFormat="false" ht="31.5" hidden="false" customHeight="true" outlineLevel="0" collapsed="false">
      <c r="A3" s="4" t="s">
        <v>206</v>
      </c>
      <c r="B3" s="4" t="s">
        <v>207</v>
      </c>
      <c r="C3" s="4" t="s">
        <v>208</v>
      </c>
    </row>
    <row r="4" customFormat="false" ht="21.75" hidden="false" customHeight="true" outlineLevel="0" collapsed="false">
      <c r="A4" s="11" t="s">
        <v>209</v>
      </c>
      <c r="B4" s="6" t="s">
        <v>210</v>
      </c>
      <c r="C4" s="6" t="s">
        <v>211</v>
      </c>
    </row>
    <row r="5" customFormat="false" ht="21.75" hidden="false" customHeight="true" outlineLevel="0" collapsed="false">
      <c r="A5" s="11" t="s">
        <v>10</v>
      </c>
      <c r="B5" s="6" t="s">
        <v>212</v>
      </c>
      <c r="C5" s="6" t="s">
        <v>213</v>
      </c>
    </row>
    <row r="6" customFormat="false" ht="21.75" hidden="false" customHeight="true" outlineLevel="0" collapsed="false">
      <c r="A6" s="11" t="s">
        <v>214</v>
      </c>
      <c r="B6" s="6" t="s">
        <v>215</v>
      </c>
      <c r="C6" s="6" t="s">
        <v>216</v>
      </c>
    </row>
    <row r="7" customFormat="false" ht="21.75" hidden="false" customHeight="true" outlineLevel="0" collapsed="false">
      <c r="A7" s="11" t="s">
        <v>217</v>
      </c>
      <c r="B7" s="6" t="s">
        <v>218</v>
      </c>
      <c r="C7" s="6" t="s">
        <v>219</v>
      </c>
    </row>
    <row r="8" customFormat="false" ht="21.75" hidden="false" customHeight="true" outlineLevel="0" collapsed="false">
      <c r="A8" s="11" t="s">
        <v>220</v>
      </c>
      <c r="B8" s="6" t="s">
        <v>221</v>
      </c>
      <c r="C8" s="6" t="s">
        <v>222</v>
      </c>
    </row>
    <row r="9" customFormat="false" ht="21.75" hidden="false" customHeight="true" outlineLevel="0" collapsed="false">
      <c r="A9" s="11" t="s">
        <v>223</v>
      </c>
      <c r="B9" s="6" t="s">
        <v>224</v>
      </c>
      <c r="C9" s="6" t="s">
        <v>225</v>
      </c>
    </row>
    <row r="10" customFormat="false" ht="21.75" hidden="false" customHeight="true" outlineLevel="0" collapsed="false">
      <c r="A10" s="11" t="s">
        <v>226</v>
      </c>
      <c r="B10" s="6" t="s">
        <v>227</v>
      </c>
      <c r="C10" s="6" t="s">
        <v>228</v>
      </c>
    </row>
    <row r="11" customFormat="false" ht="21.75" hidden="false" customHeight="true" outlineLevel="0" collapsed="false">
      <c r="A11" s="11" t="s">
        <v>204</v>
      </c>
      <c r="B11" s="6" t="s">
        <v>229</v>
      </c>
      <c r="C11" s="6" t="s">
        <v>230</v>
      </c>
    </row>
    <row r="12" customFormat="false" ht="21.75" hidden="false" customHeight="true" outlineLevel="0" collapsed="false">
      <c r="A12" s="11" t="s">
        <v>231</v>
      </c>
      <c r="B12" s="6" t="s">
        <v>232</v>
      </c>
      <c r="C12" s="6" t="s">
        <v>233</v>
      </c>
    </row>
    <row r="13" customFormat="false" ht="21.75" hidden="false" customHeight="true" outlineLevel="0" collapsed="false">
      <c r="A13" s="11" t="s">
        <v>234</v>
      </c>
      <c r="B13" s="6" t="s">
        <v>235</v>
      </c>
      <c r="C13" s="6" t="s">
        <v>233</v>
      </c>
    </row>
    <row r="14" customFormat="false" ht="21.75" hidden="false" customHeight="true" outlineLevel="0" collapsed="false">
      <c r="A14" s="11" t="s">
        <v>236</v>
      </c>
      <c r="B14" s="6" t="s">
        <v>237</v>
      </c>
      <c r="C14" s="6" t="s">
        <v>238</v>
      </c>
    </row>
    <row r="15" customFormat="false" ht="21.75" hidden="false" customHeight="true" outlineLevel="0" collapsed="false">
      <c r="A15" s="11" t="s">
        <v>239</v>
      </c>
      <c r="B15" s="6" t="s">
        <v>240</v>
      </c>
      <c r="C15" s="6" t="s">
        <v>241</v>
      </c>
    </row>
    <row r="16" customFormat="false" ht="21.75" hidden="false" customHeight="true" outlineLevel="0" collapsed="false">
      <c r="A16" s="11" t="s">
        <v>242</v>
      </c>
      <c r="B16" s="6" t="s">
        <v>243</v>
      </c>
      <c r="C16" s="6" t="s">
        <v>244</v>
      </c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2026-10-13T20:09:34Z</dcterms:created>
  <dc:creator>openpyxl</dc:creator>
  <dc:description/>
  <dc:language>en-US</dc:language>
  <cp:lastModifiedBy/>
  <dcterms:modified xsi:type="dcterms:W3CDTF">2026-10-13T20:09:34Z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