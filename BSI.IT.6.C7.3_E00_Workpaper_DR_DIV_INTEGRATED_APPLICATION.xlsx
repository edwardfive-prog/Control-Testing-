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77040" windowHeight="21120" tabRatio="600" firstSheet="1" activeTab="3" autoFilterDateGrouping="1"/>
  </bookViews>
  <sheets>
    <sheet name="WP Summary" sheetId="1" state="visible" r:id="rId1"/>
    <sheet name="Scope Population" sheetId="2" state="visible" r:id="rId2"/>
    <sheet name="Application Attribute Testing-1" sheetId="3" state="hidden" r:id="rId3"/>
    <sheet name="Application Attribute Testing" sheetId="4" state="visible" r:id="rId4"/>
    <sheet name="BSI.IT.6.C7.3 Evidence Map" sheetId="5" state="hidden" r:id="rId5"/>
    <sheet name="BSI.IT.6.C7.3 Evidence Index" sheetId="6" state="hidden" r:id="rId6"/>
    <sheet name="DR 2024 Testing Results" sheetId="7" state="visible" r:id="rId7"/>
  </sheets>
  <definedNames>
    <definedName name="_xlnm._FilterDatabase" localSheetId="5"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8">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s>
  <fills count="21">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s>
  <borders count="17">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s>
  <cellStyleXfs count="1">
    <xf numFmtId="0" fontId="0" fillId="0" borderId="9"/>
  </cellStyleXfs>
  <cellXfs count="89">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1" borderId="9" pivotButton="0" quotePrefix="0" xfId="0"/>
    <xf numFmtId="0" fontId="26" fillId="0" borderId="9" pivotButton="0" quotePrefix="0" xfId="0"/>
    <xf numFmtId="0" fontId="28" fillId="12" borderId="0" pivotButton="0" quotePrefix="0" xfId="0"/>
    <xf numFmtId="0" fontId="29" fillId="12" borderId="9" pivotButton="0" quotePrefix="0" xfId="0"/>
    <xf numFmtId="0" fontId="29" fillId="12" borderId="0" pivotButton="0" quotePrefix="0" xfId="0"/>
    <xf numFmtId="0" fontId="30" fillId="12" borderId="0" pivotButton="0" quotePrefix="0" xfId="0"/>
    <xf numFmtId="0" fontId="30" fillId="12" borderId="9" pivotButton="0" quotePrefix="0" xfId="0"/>
    <xf numFmtId="0" fontId="31" fillId="12" borderId="11" applyAlignment="1" pivotButton="0" quotePrefix="0" xfId="0">
      <alignment vertical="center" wrapText="1"/>
    </xf>
    <xf numFmtId="0" fontId="32" fillId="12" borderId="0" pivotButton="0" quotePrefix="0" xfId="0"/>
    <xf numFmtId="0" fontId="33" fillId="13" borderId="10" pivotButton="0" quotePrefix="0" xfId="0"/>
    <xf numFmtId="0" fontId="33" fillId="0" borderId="9" pivotButton="0" quotePrefix="0" xfId="0"/>
    <xf numFmtId="0" fontId="33" fillId="13" borderId="9" pivotButton="0" quotePrefix="0" xfId="0"/>
    <xf numFmtId="0" fontId="7" fillId="15" borderId="10" applyAlignment="1" pivotButton="0" quotePrefix="0" xfId="0">
      <alignment horizontal="center" vertical="center" wrapText="1"/>
    </xf>
    <xf numFmtId="0" fontId="33" fillId="0" borderId="10" pivotButton="0" quotePrefix="0" xfId="0"/>
    <xf numFmtId="0" fontId="13" fillId="13" borderId="10" applyAlignment="1" pivotButton="0" quotePrefix="0" xfId="0">
      <alignment vertical="top" wrapText="1"/>
    </xf>
    <xf numFmtId="0" fontId="14" fillId="13" borderId="10" applyAlignment="1" pivotButton="0" quotePrefix="0" xfId="0">
      <alignment horizontal="center" vertical="top" wrapText="1"/>
    </xf>
    <xf numFmtId="0" fontId="19" fillId="13" borderId="10" applyAlignment="1" pivotButton="0" quotePrefix="0" xfId="0">
      <alignment vertical="top" wrapText="1"/>
    </xf>
    <xf numFmtId="0" fontId="16" fillId="17" borderId="9" applyAlignment="1" pivotButton="0" quotePrefix="0" xfId="0">
      <alignment vertical="center"/>
    </xf>
    <xf numFmtId="0" fontId="16" fillId="17" borderId="9" applyAlignment="1" pivotButton="0" quotePrefix="0" xfId="0">
      <alignment vertical="center" wrapText="1"/>
    </xf>
    <xf numFmtId="0" fontId="17" fillId="18" borderId="9" applyAlignment="1" pivotButton="0" quotePrefix="0" xfId="0">
      <alignment horizontal="center" vertical="center"/>
    </xf>
    <xf numFmtId="0" fontId="33" fillId="0" borderId="9" applyAlignment="1" pivotButton="0" quotePrefix="0" xfId="0">
      <alignment wrapText="1"/>
    </xf>
    <xf numFmtId="0" fontId="33" fillId="0" borderId="9" applyAlignment="1" pivotButton="0" quotePrefix="0" xfId="0">
      <alignment vertical="center" wrapText="1"/>
    </xf>
    <xf numFmtId="0" fontId="3" fillId="15" borderId="10" applyAlignment="1" pivotButton="0" quotePrefix="0" xfId="0">
      <alignment horizontal="center" vertical="center" wrapText="1"/>
    </xf>
    <xf numFmtId="0" fontId="33" fillId="0" borderId="10" applyAlignment="1" pivotButton="0" quotePrefix="0" xfId="0">
      <alignment wrapText="1"/>
    </xf>
    <xf numFmtId="0" fontId="20" fillId="18" borderId="10" applyAlignment="1" pivotButton="0" quotePrefix="0" xfId="0">
      <alignment horizontal="center" wrapText="1"/>
    </xf>
    <xf numFmtId="9" fontId="33" fillId="0" borderId="10" applyAlignment="1" pivotButton="0" quotePrefix="0" xfId="0">
      <alignment wrapText="1"/>
    </xf>
    <xf numFmtId="0" fontId="33" fillId="0" borderId="10" applyAlignment="1" pivotButton="0" quotePrefix="0" xfId="0">
      <alignment vertical="center" wrapText="1"/>
    </xf>
    <xf numFmtId="0" fontId="22" fillId="16" borderId="10" applyAlignment="1" pivotButton="0" quotePrefix="0" xfId="0">
      <alignment vertical="center" wrapText="1"/>
    </xf>
    <xf numFmtId="9" fontId="33" fillId="0" borderId="10" applyAlignment="1" pivotButton="0" quotePrefix="0" xfId="0">
      <alignment vertical="center" wrapText="1"/>
    </xf>
    <xf numFmtId="0" fontId="22" fillId="16" borderId="10" applyAlignment="1" pivotButton="0" quotePrefix="0" xfId="0">
      <alignment wrapText="1"/>
    </xf>
    <xf numFmtId="0" fontId="20" fillId="18" borderId="10" applyAlignment="1" pivotButton="0" quotePrefix="0" xfId="0">
      <alignment wrapText="1"/>
    </xf>
    <xf numFmtId="0" fontId="5" fillId="16" borderId="10" applyAlignment="1" pivotButton="0" quotePrefix="0" xfId="0">
      <alignment horizontal="center" wrapText="1"/>
    </xf>
    <xf numFmtId="0" fontId="33" fillId="16" borderId="10" applyAlignment="1" pivotButton="0" quotePrefix="0" xfId="0">
      <alignment vertical="center" wrapText="1"/>
    </xf>
    <xf numFmtId="0" fontId="33" fillId="13" borderId="10" applyAlignment="1" pivotButton="0" quotePrefix="0" xfId="0">
      <alignment vertical="top" wrapText="1"/>
    </xf>
    <xf numFmtId="0" fontId="7" fillId="9" borderId="14" applyAlignment="1" pivotButton="0" quotePrefix="0" xfId="0">
      <alignment horizontal="center" vertical="center" wrapText="1"/>
    </xf>
    <xf numFmtId="0" fontId="24" fillId="10" borderId="14" applyAlignment="1" pivotButton="0" quotePrefix="0" xfId="0">
      <alignment horizontal="center" vertical="top" wrapText="1"/>
    </xf>
    <xf numFmtId="0" fontId="36" fillId="10" borderId="14" applyAlignment="1" pivotButton="0" quotePrefix="0" xfId="0">
      <alignment vertical="top" wrapText="1"/>
    </xf>
    <xf numFmtId="0" fontId="24" fillId="10" borderId="14" applyAlignment="1" pivotButton="0" quotePrefix="0" xfId="0">
      <alignment vertical="top" wrapText="1"/>
    </xf>
    <xf numFmtId="0" fontId="0" fillId="10" borderId="14" pivotButton="0" quotePrefix="0" xfId="0"/>
    <xf numFmtId="0" fontId="19" fillId="20" borderId="14" applyAlignment="1" pivotButton="0" quotePrefix="0" xfId="0">
      <alignment horizontal="center" vertical="top" wrapText="1"/>
    </xf>
    <xf numFmtId="0" fontId="35" fillId="10" borderId="14" applyAlignment="1" pivotButton="0" quotePrefix="0" xfId="0">
      <alignment horizontal="center" vertical="top" wrapText="1"/>
    </xf>
    <xf numFmtId="0" fontId="34" fillId="10" borderId="14" applyAlignment="1" pivotButton="0" quotePrefix="0" xfId="0">
      <alignment vertical="top" wrapText="1"/>
    </xf>
    <xf numFmtId="0" fontId="34" fillId="10" borderId="14" applyAlignment="1" pivotButton="0" quotePrefix="0" xfId="0">
      <alignment horizontal="center" vertical="top" wrapText="1"/>
    </xf>
    <xf numFmtId="0" fontId="37" fillId="12" borderId="11" applyAlignment="1" pivotButton="0" quotePrefix="0" xfId="0">
      <alignment vertical="center" wrapText="1"/>
    </xf>
    <xf numFmtId="0" fontId="18" fillId="8" borderId="0" applyAlignment="1" pivotButton="0" quotePrefix="0" xfId="0">
      <alignment vertical="center"/>
    </xf>
    <xf numFmtId="0" fontId="0" fillId="0" borderId="0" pivotButton="0" quotePrefix="0" xfId="0"/>
    <xf numFmtId="0" fontId="11" fillId="6" borderId="9" applyAlignment="1" pivotButton="0" quotePrefix="0" xfId="0">
      <alignment vertical="center" wrapText="1"/>
    </xf>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5" fillId="16" borderId="9" applyAlignment="1" pivotButton="0" quotePrefix="0" xfId="0">
      <alignment vertical="center" wrapText="1"/>
    </xf>
    <xf numFmtId="0" fontId="33"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27" fillId="19" borderId="9" applyAlignment="1" pivotButton="0" quotePrefix="0" xfId="0">
      <alignment vertical="top" wrapText="1"/>
    </xf>
    <xf numFmtId="0" fontId="0" fillId="0" borderId="9" applyAlignment="1" pivotButton="0" quotePrefix="0" xfId="0">
      <alignment vertical="top" wrapText="1"/>
    </xf>
    <xf numFmtId="0" fontId="18" fillId="8" borderId="9" applyAlignment="1" pivotButton="0" quotePrefix="0" xfId="0">
      <alignment vertical="center"/>
    </xf>
    <xf numFmtId="0" fontId="36" fillId="13" borderId="10" applyAlignment="1" pivotButton="0" quotePrefix="0" xfId="0">
      <alignment vertical="top" wrapText="1"/>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5"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4"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4" t="inlineStr">
        <is>
          <t>Overall Conclusion</t>
        </is>
      </c>
    </row>
    <row r="21" ht="62.4" customHeight="1" s="73">
      <c r="A21" s="76"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8" t="inlineStr">
        <is>
          <t>In-Scope DR Applications – BSI</t>
        </is>
      </c>
    </row>
    <row r="2"/>
    <row r="3"/>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5"/>
    <row r="16">
      <c r="A16" s="10" t="inlineStr">
        <is>
          <t>Control Totals</t>
        </is>
      </c>
      <c r="B16" s="10" t="n"/>
      <c r="C16" s="10" t="n"/>
      <c r="D16" s="10" t="n"/>
      <c r="E16" s="10" t="n"/>
      <c r="F16" s="10" t="n"/>
      <c r="G16" s="1" t="inlineStr">
        <is>
          <t>Total DIV Records</t>
        </is>
      </c>
      <c r="H16" s="15">
        <f>SUM(G5:G14)</f>
        <v/>
      </c>
    </row>
    <row r="17"/>
    <row r="18">
      <c r="A18" s="77" t="inlineStr">
        <is>
          <t>Source / Scope Note</t>
        </is>
      </c>
    </row>
    <row r="19">
      <c r="A19" s="79"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9"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workbookViewId="0">
      <pane ySplit="2" topLeftCell="A3" activePane="bottomLeft" state="frozen"/>
      <selection activeCell="A2" sqref="A2"/>
      <selection pane="bottomLeft" activeCell="C3" sqref="C3"/>
    </sheetView>
  </sheetViews>
  <sheetFormatPr baseColWidth="8" defaultRowHeight="14.5"/>
  <cols>
    <col width="6.9140625" customWidth="1" style="81" min="1" max="1"/>
    <col width="69.33203125" customWidth="1" style="81" min="2" max="2"/>
    <col width="65.83203125" customWidth="1" style="81" min="3" max="3"/>
    <col width="60" customWidth="1" style="81" min="4" max="5"/>
    <col width="62" customWidth="1" style="81" min="6" max="6"/>
    <col width="55" customWidth="1" style="81" min="7" max="7"/>
    <col width="58" customWidth="1" style="81" min="8" max="8"/>
    <col width="62" customWidth="1" style="81" min="9" max="10"/>
    <col width="60" customWidth="1" style="81" min="11" max="12"/>
    <col width="66" customWidth="1" style="81" min="13" max="15"/>
    <col hidden="1" width="58" customWidth="1" style="81" min="16" max="16"/>
    <col width="70" customWidth="1" style="81" min="17" max="17"/>
    <col width="95" customWidth="1" style="81" min="18" max="18"/>
    <col width="48" customWidth="1" style="39" min="19" max="19"/>
    <col width="8.6640625" customWidth="1" style="39" min="20" max="65"/>
    <col width="8.6640625" customWidth="1" style="81" min="66" max="66"/>
    <col width="8.6640625" customWidth="1" style="81" min="67" max="16384"/>
  </cols>
  <sheetData>
    <row r="1" ht="31.5" customFormat="1" customHeight="1" s="41">
      <c r="A1" s="82" t="inlineStr">
        <is>
          <t>Application-Level DIV Testing Results – Integrated Control Attribute Testing-2026</t>
        </is>
      </c>
      <c r="B1" s="83" t="n"/>
      <c r="C1" s="83" t="n"/>
      <c r="D1" s="83" t="n"/>
      <c r="E1" s="83" t="n"/>
      <c r="F1" s="83" t="n"/>
      <c r="G1" s="83" t="n"/>
      <c r="H1" s="83" t="n"/>
      <c r="I1" s="83" t="n"/>
      <c r="J1" s="83" t="n"/>
      <c r="K1" s="83" t="n"/>
      <c r="L1" s="84"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40" t="inlineStr">
        <is>
          <t>IT DR exercise name</t>
        </is>
      </c>
      <c r="C2" s="40" t="inlineStr">
        <is>
          <t>IT DR exercise name, was the excercise annually executed?</t>
        </is>
      </c>
      <c r="D2" s="40" t="inlineStr">
        <is>
          <t>Application Name</t>
        </is>
      </c>
      <c r="E2" s="40" t="inlineStr">
        <is>
          <t>Business Tester</t>
        </is>
      </c>
      <c r="F2" s="40" t="inlineStr">
        <is>
          <t>Business Data validation</t>
        </is>
      </c>
      <c r="G2" s="40" t="inlineStr">
        <is>
          <t>Business line manager name</t>
        </is>
      </c>
      <c r="H2" s="40" t="inlineStr">
        <is>
          <t>Business line manager approval dates</t>
        </is>
      </c>
      <c r="I2" s="40" t="inlineStr">
        <is>
          <t>DIV Test procedures listed within the Test results document</t>
        </is>
      </c>
      <c r="J2" s="40" t="inlineStr">
        <is>
          <t>Emails showing Business line manager approval of DIV testing results</t>
        </is>
      </c>
      <c r="K2" s="40" t="inlineStr">
        <is>
          <t>All evidence of Data Integrity DR test in BCIC</t>
        </is>
      </c>
      <c r="L2" s="40" t="inlineStr">
        <is>
          <t xml:space="preserve"> Annual Testing Executed</t>
        </is>
      </c>
      <c r="M2" s="40" t="inlineStr">
        <is>
          <t xml:space="preserve"> Data Integrity Validation Performed by IT DR Team</t>
        </is>
      </c>
      <c r="N2" s="40" t="inlineStr">
        <is>
          <t xml:space="preserve"> Applications in Scope Identified</t>
        </is>
      </c>
      <c r="O2" s="40" t="inlineStr">
        <is>
          <t xml:space="preserve"> Business Line Approval of Results</t>
        </is>
      </c>
      <c r="P2" s="40" t="inlineStr">
        <is>
          <t xml:space="preserve"> Results Documented in BCMS</t>
        </is>
      </c>
      <c r="Q2" s="40" t="inlineStr">
        <is>
          <t>Overall Attribute Assessment</t>
        </is>
      </c>
      <c r="R2" s="40" t="inlineStr">
        <is>
          <t>Supporting Evidence per Attribute</t>
        </is>
      </c>
      <c r="S2" s="40"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332" customFormat="1" customHeight="1" s="37">
      <c r="A3" s="88" t="n">
        <v>1822</v>
      </c>
      <c r="B3"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2"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2"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2"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2"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2"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37">
      <c r="A4" s="88" t="n">
        <v>1867</v>
      </c>
      <c r="B4"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2"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2"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2"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2"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2"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2"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37">
      <c r="A5" s="88" t="n">
        <v>1868</v>
      </c>
      <c r="B5"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2"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2"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2"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2"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2"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2"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37">
      <c r="A6" s="88" t="n">
        <v>3299</v>
      </c>
      <c r="B6"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2"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2"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2"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2"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2"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2"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1"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37">
      <c r="A7" s="88" t="n">
        <v>4052</v>
      </c>
      <c r="B7"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2"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2"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2"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2"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2"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2"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1"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37">
      <c r="A8" s="88" t="n">
        <v>3301</v>
      </c>
      <c r="B8"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2"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2"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2"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2"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2"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2"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1"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37">
      <c r="A9" s="88" t="n">
        <v>1903</v>
      </c>
      <c r="B9"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2"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2"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2"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2"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2"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1"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2"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2"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1"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2"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37">
      <c r="A10" s="88" t="n">
        <v>1917</v>
      </c>
      <c r="B10"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2"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2"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2"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2"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2"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2"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1"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37">
      <c r="A11" s="88" t="n">
        <v>1936</v>
      </c>
      <c r="B11"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2"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2"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1"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1"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2"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2"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2"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1"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37">
      <c r="A12" s="88" t="n">
        <v>1937</v>
      </c>
      <c r="B12"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2"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2"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2"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2"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2"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1"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80"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45" t="inlineStr">
        <is>
          <t>Population Summary</t>
        </is>
      </c>
      <c r="B14" s="45" t="n"/>
      <c r="C14" s="46" t="inlineStr">
        <is>
          <t>Total DIV Records</t>
        </is>
      </c>
      <c r="D14" s="47" t="n">
        <v>56</v>
      </c>
    </row>
    <row r="15"/>
    <row r="16" ht="33.15" customHeight="1" s="73">
      <c r="A16" s="50" t="inlineStr">
        <is>
          <t>Full-Population Assertions</t>
        </is>
      </c>
      <c r="B16" s="50" t="inlineStr">
        <is>
          <t>Result</t>
        </is>
      </c>
      <c r="C16" s="50" t="inlineStr">
        <is>
          <t>Count</t>
        </is>
      </c>
      <c r="D16" s="50" t="inlineStr">
        <is>
          <t>Population</t>
        </is>
      </c>
      <c r="E16" s="50" t="inlineStr">
        <is>
          <t>Rate</t>
        </is>
      </c>
      <c r="F16" s="48" t="n"/>
      <c r="G16" s="50" t="inlineStr">
        <is>
          <t>Observation</t>
        </is>
      </c>
      <c r="H16" s="50" t="inlineStr">
        <is>
          <t>Count</t>
        </is>
      </c>
      <c r="I16" s="50" t="inlineStr">
        <is>
          <t>Population</t>
        </is>
      </c>
      <c r="J16" s="50" t="inlineStr">
        <is>
          <t>Impact</t>
        </is>
      </c>
    </row>
    <row r="17" ht="33.15" customHeight="1" s="73">
      <c r="A17" s="51" t="inlineStr">
        <is>
          <t>DIV records with Business Data Validation Date</t>
        </is>
      </c>
      <c r="B17" s="52" t="inlineStr">
        <is>
          <t>Pass</t>
        </is>
      </c>
      <c r="C17" s="51" t="n">
        <v>56</v>
      </c>
      <c r="D17" s="51" t="n">
        <v>56</v>
      </c>
      <c r="E17" s="53">
        <f>C17/D17</f>
        <v/>
      </c>
      <c r="F17" s="48" t="n"/>
      <c r="G17" s="51" t="inlineStr">
        <is>
          <t>Blank Attestation Date</t>
        </is>
      </c>
      <c r="H17" s="51" t="n">
        <v>7</v>
      </c>
      <c r="I17" s="51" t="n">
        <v>56</v>
      </c>
      <c r="J17" s="51" t="inlineStr">
        <is>
          <t>Observation only – blank BCiC attestation fields are covered by the approval emails / signed attestations in folder 03 (DMA11, DMA12) and BLA06.</t>
        </is>
      </c>
    </row>
    <row r="18" ht="33.15" customHeight="1" s="73">
      <c r="A18" s="51" t="inlineStr">
        <is>
          <t>DIV records with Format = Y</t>
        </is>
      </c>
      <c r="B18" s="52" t="inlineStr">
        <is>
          <t>Pass</t>
        </is>
      </c>
      <c r="C18" s="51" t="n">
        <v>56</v>
      </c>
      <c r="D18" s="51" t="n">
        <v>56</v>
      </c>
      <c r="E18" s="53">
        <f>C18/D18</f>
        <v/>
      </c>
      <c r="F18" s="48" t="n"/>
      <c r="G18" s="51" t="inlineStr">
        <is>
          <t>Blank Attestation Provided By</t>
        </is>
      </c>
      <c r="H18" s="51" t="n">
        <v>6</v>
      </c>
      <c r="I18" s="51" t="n">
        <v>56</v>
      </c>
      <c r="J18" s="51" t="inlineStr">
        <is>
          <t>Observation only – blank BCiC attestation fields are covered by the approval emails / signed attestations in folder 03 (DMA11, DMA12) and BLA06.</t>
        </is>
      </c>
    </row>
    <row r="19" ht="44.25" customHeight="1" s="73">
      <c r="A19" s="51" t="inlineStr">
        <is>
          <t>DIV records with Headers = Y</t>
        </is>
      </c>
      <c r="B19" s="52" t="inlineStr">
        <is>
          <t>Pass</t>
        </is>
      </c>
      <c r="C19" s="51" t="n">
        <v>56</v>
      </c>
      <c r="D19" s="51" t="n">
        <v>56</v>
      </c>
      <c r="E19" s="53">
        <f>C19/D19</f>
        <v/>
      </c>
      <c r="F19" s="48" t="n"/>
      <c r="G19" s="51" t="n"/>
      <c r="H19" s="59" t="n"/>
      <c r="I19" s="59" t="n"/>
      <c r="J19" s="59" t="n"/>
    </row>
    <row r="20" ht="69" customHeight="1" s="73">
      <c r="A20" s="51" t="inlineStr">
        <is>
          <t>DIV records with Content = Y</t>
        </is>
      </c>
      <c r="B20" s="52" t="inlineStr">
        <is>
          <t>Pass</t>
        </is>
      </c>
      <c r="C20" s="51" t="n">
        <v>56</v>
      </c>
      <c r="D20" s="51" t="n">
        <v>56</v>
      </c>
      <c r="E20" s="53">
        <f>C20/D20</f>
        <v/>
      </c>
      <c r="F20" s="48" t="n"/>
      <c r="G20" s="51" t="n"/>
      <c r="H20" s="51" t="n"/>
      <c r="I20" s="51" t="n"/>
      <c r="J20" s="51" t="n"/>
    </row>
    <row r="21" ht="110.4" customHeight="1" s="73">
      <c r="A21" s="51" t="inlineStr">
        <is>
          <t>DIV records with Department Manager and approval date</t>
        </is>
      </c>
      <c r="B21" s="52" t="inlineStr">
        <is>
          <t>Pass</t>
        </is>
      </c>
      <c r="C21" s="51" t="n">
        <v>56</v>
      </c>
      <c r="D21" s="51" t="n">
        <v>56</v>
      </c>
      <c r="E21" s="53">
        <f>C21/D21</f>
        <v/>
      </c>
      <c r="F21" s="48" t="n"/>
      <c r="G21" s="51" t="n"/>
      <c r="H21" s="51" t="n"/>
      <c r="I21" s="51" t="n"/>
      <c r="J21" s="51" t="n"/>
    </row>
    <row r="22" ht="28.75" customHeight="1" s="73">
      <c r="A22" s="51" t="inlineStr">
        <is>
          <t>BCiC Data Integrity Validation / DR-scope records corroborated by BCiC screenshots (E02, E04, MA01)</t>
        </is>
      </c>
      <c r="B22" s="52" t="inlineStr">
        <is>
          <t>Pass</t>
        </is>
      </c>
      <c r="C22" s="51" t="n">
        <v>10</v>
      </c>
      <c r="D22" s="51" t="n">
        <v>10</v>
      </c>
      <c r="E22" s="53">
        <f>C22/D22</f>
        <v/>
      </c>
      <c r="F22" s="48" t="n"/>
      <c r="G22" s="51" t="inlineStr">
        <is>
          <t>BCIC source corroboration</t>
        </is>
      </c>
      <c r="H22" s="51" t="n">
        <v>10</v>
      </c>
      <c r="I22" s="51" t="n">
        <v>10</v>
      </c>
      <c r="J22" s="51" t="inlineStr">
        <is>
          <t>MA01 (BSI In-Scope Applications-2026) shows all 10 applications selected with 2025 Backup/Restore DIV Scope = True; E04 corroborates the BCiC DIV report used for E03 / E16b.</t>
        </is>
      </c>
    </row>
    <row r="23" ht="28.75" customHeight="1" s="73">
      <c r="A23" s="54" t="inlineStr">
        <is>
          <t>DIV records with business line manager approval evidenced by email / signed attestation (folders 02-04)</t>
        </is>
      </c>
      <c r="B23" s="55" t="inlineStr">
        <is>
          <t>Pass</t>
        </is>
      </c>
      <c r="C23" s="54" t="n">
        <v>56</v>
      </c>
      <c r="D23" s="54" t="n">
        <v>56</v>
      </c>
      <c r="E23" s="56">
        <f>C23/D23</f>
        <v/>
      </c>
      <c r="F23" s="49" t="n"/>
      <c r="G23" s="54" t="inlineStr">
        <is>
          <t>Approval evidence dated after review period end (06/01/2026)</t>
        </is>
      </c>
      <c r="H23" s="60" t="n">
        <v>33</v>
      </c>
      <c r="I23" s="60" t="n">
        <v>56</v>
      </c>
      <c r="J23" s="60"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1" t="inlineStr">
        <is>
          <t>Business line DIV results documents (Business Line Approval Results folder 02) covering the tested applications</t>
        </is>
      </c>
      <c r="B24" s="57" t="inlineStr">
        <is>
          <t>Pass</t>
        </is>
      </c>
      <c r="C24" s="51" t="n">
        <v>10</v>
      </c>
      <c r="D24" s="51" t="n">
        <v>10</v>
      </c>
      <c r="E24" s="51">
        <f>C24/D24</f>
        <v/>
      </c>
      <c r="F24" s="48" t="n"/>
      <c r="G24" s="51" t="inlineStr">
        <is>
          <t>Results documents per business line</t>
        </is>
      </c>
      <c r="H24" s="51" t="n">
        <v>5</v>
      </c>
      <c r="I24" s="51" t="n">
        <v>5</v>
      </c>
      <c r="J24" s="51"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1" t="inlineStr">
        <is>
          <t>Control samples meeting all five required attributes</t>
        </is>
      </c>
      <c r="B25" s="58" t="inlineStr">
        <is>
          <t>Pass</t>
        </is>
      </c>
      <c r="C25" s="51" t="n">
        <v>10</v>
      </c>
      <c r="D25" s="51" t="n">
        <v>10</v>
      </c>
      <c r="E25" s="51" t="n">
        <v>1</v>
      </c>
      <c r="F25" s="48" t="n"/>
      <c r="G25" s="51" t="inlineStr">
        <is>
          <t>Final sample-level conclusion</t>
        </is>
      </c>
      <c r="H25" s="51" t="n">
        <v>10</v>
      </c>
      <c r="I25" s="51" t="n">
        <v>10</v>
      </c>
      <c r="J25" s="51" t="inlineStr">
        <is>
          <t>10 of 10 samples PASS; observations on approval timing, self-approval and BCiC data entry are noted for reviewer consideration (column Q / Observations section).</t>
        </is>
      </c>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ht="75" customHeight="1" s="73">
      <c r="A79" s="85"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81" t="n"/>
    </row>
    <row r="80">
      <c r="S80" s="81" t="n"/>
    </row>
    <row r="81">
      <c r="S81" s="81" t="n"/>
    </row>
    <row r="82">
      <c r="S82" s="81" t="n"/>
    </row>
    <row r="83">
      <c r="S83" s="81" t="n"/>
    </row>
    <row r="84">
      <c r="S84" s="81" t="n"/>
    </row>
    <row r="85">
      <c r="S85" s="81" t="n"/>
    </row>
    <row r="86">
      <c r="S86" s="81" t="n"/>
    </row>
    <row r="87">
      <c r="S87" s="81" t="n"/>
    </row>
    <row r="88">
      <c r="S88" s="81" t="n"/>
    </row>
    <row r="89">
      <c r="S89" s="81" t="n"/>
    </row>
    <row r="90">
      <c r="S90" s="81" t="n"/>
    </row>
    <row r="91">
      <c r="S91" s="81" t="n"/>
    </row>
    <row r="92">
      <c r="S92" s="81" t="n"/>
    </row>
    <row r="93">
      <c r="S93" s="81" t="n"/>
    </row>
    <row r="94">
      <c r="S94" s="81" t="n"/>
    </row>
    <row r="95">
      <c r="S95" s="81" t="n"/>
    </row>
    <row r="96">
      <c r="S96" s="81" t="n"/>
    </row>
    <row r="97">
      <c r="S97" s="81" t="n"/>
    </row>
    <row r="98">
      <c r="S98" s="81" t="n"/>
    </row>
    <row r="99">
      <c r="S99" s="81" t="n"/>
    </row>
    <row r="100">
      <c r="S100" s="81" t="n"/>
    </row>
    <row r="101">
      <c r="S101" s="81" t="n"/>
    </row>
    <row r="102">
      <c r="S102" s="81" t="n"/>
    </row>
    <row r="103">
      <c r="S103" s="81" t="n"/>
    </row>
    <row r="104">
      <c r="S104" s="81" t="n"/>
    </row>
    <row r="105">
      <c r="S105" s="81" t="n"/>
    </row>
    <row r="106">
      <c r="S106" s="81" t="n"/>
    </row>
    <row r="107">
      <c r="S107" s="81" t="n"/>
    </row>
    <row r="108">
      <c r="S108" s="81" t="n"/>
    </row>
    <row r="109">
      <c r="S109" s="81" t="n"/>
    </row>
    <row r="110">
      <c r="S110" s="81" t="n"/>
    </row>
    <row r="111">
      <c r="S111" s="81" t="n"/>
    </row>
    <row r="112">
      <c r="S112" s="81" t="n"/>
    </row>
    <row r="113">
      <c r="S113" s="81" t="n"/>
    </row>
    <row r="114">
      <c r="S114" s="81" t="n"/>
    </row>
    <row r="115">
      <c r="S115" s="81" t="n"/>
    </row>
    <row r="116">
      <c r="S116" s="81" t="n"/>
    </row>
    <row r="117">
      <c r="S117" s="81" t="n"/>
    </row>
    <row r="118">
      <c r="S118" s="81" t="n"/>
    </row>
    <row r="119">
      <c r="S119" s="81" t="n"/>
    </row>
    <row r="120">
      <c r="S120" s="81" t="n"/>
    </row>
    <row r="121">
      <c r="S121" s="81" t="n"/>
    </row>
    <row r="122">
      <c r="S122" s="81" t="n"/>
    </row>
    <row r="123">
      <c r="S123" s="81" t="n"/>
    </row>
    <row r="124">
      <c r="S124" s="81" t="n"/>
    </row>
    <row r="125">
      <c r="S125" s="81" t="n"/>
    </row>
    <row r="126">
      <c r="S126" s="81" t="n"/>
    </row>
    <row r="127">
      <c r="S127" s="81" t="n"/>
    </row>
    <row r="128">
      <c r="S128" s="81" t="n"/>
    </row>
    <row r="129">
      <c r="S129" s="81" t="n"/>
    </row>
    <row r="130">
      <c r="S130" s="81" t="n"/>
    </row>
    <row r="131">
      <c r="S131" s="81" t="n"/>
    </row>
    <row r="132">
      <c r="S132" s="81" t="n"/>
    </row>
    <row r="133">
      <c r="S133" s="81" t="n"/>
    </row>
    <row r="134">
      <c r="S134" s="81" t="n"/>
    </row>
    <row r="135">
      <c r="S135" s="81" t="n"/>
    </row>
    <row r="136">
      <c r="S136" s="81" t="n"/>
    </row>
    <row r="137">
      <c r="S137" s="81" t="n"/>
    </row>
    <row r="138">
      <c r="S138" s="81" t="n"/>
    </row>
  </sheetData>
  <mergeCells count="3">
    <mergeCell ref="A13:L13"/>
    <mergeCell ref="A1:L1"/>
    <mergeCell ref="A79:L79"/>
  </mergeCells>
  <hyperlinks>
    <hyperlink ref="A3" location="'Application Attribute Testing'!A158" display="1822"/>
    <hyperlink ref="A4" location="'Application Attribute Testing'!A159" display="1867"/>
    <hyperlink ref="A5" location="'Application Attribute Testing'!A160" display="1868"/>
    <hyperlink ref="A6" location="'Application Attribute Testing'!A161" display="3299"/>
    <hyperlink ref="A7" location="'Application Attribute Testing'!A162" display="4052"/>
    <hyperlink ref="A8" location="'Application Attribute Testing'!A163" display="3301"/>
    <hyperlink ref="A9" location="'Application Attribute Testing'!A164" display="1903"/>
    <hyperlink ref="A10" location="'Application Attribute Testing'!A165" display="1917"/>
    <hyperlink ref="A11" location="'Application Attribute Testing'!A166" display="1936"/>
    <hyperlink ref="A12" location="'Application Attribute Testing'!A167" display="1937"/>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G167"/>
  <sheetViews>
    <sheetView tabSelected="1" workbookViewId="0">
      <selection activeCell="B8" sqref="B8"/>
    </sheetView>
  </sheetViews>
  <sheetFormatPr baseColWidth="8" defaultRowHeight="14"/>
  <cols>
    <col width="8.75" customWidth="1" style="73" min="1" max="1"/>
    <col width="71.75" customWidth="1" style="73" min="2" max="2"/>
    <col width="37.83203125" customWidth="1" style="73" min="3" max="3"/>
    <col width="39.75" customWidth="1" style="73" min="4" max="4"/>
    <col width="61.5" customWidth="1" style="73" min="5" max="5"/>
    <col width="113.75" customWidth="1" style="73" min="6" max="6"/>
    <col width="48.08203125" customWidth="1" style="73" min="7" max="7"/>
  </cols>
  <sheetData>
    <row r="1" ht="15.5" customHeight="1" s="73">
      <c r="A1" s="87" t="inlineStr">
        <is>
          <t>BSI.IT.6.C7.3 – DR Data Integrity Validation – Retest of attributes (Scope, Email approval and all attributes) – Contents</t>
        </is>
      </c>
    </row>
    <row r="2" ht="26" customHeight="1" s="73">
      <c r="A2" s="62" t="inlineStr">
        <is>
          <t>#</t>
        </is>
      </c>
      <c r="B2" s="62" t="inlineStr">
        <is>
          <t>Section (click to open)</t>
        </is>
      </c>
      <c r="C2" s="62" t="inlineStr">
        <is>
          <t>Workpaper column</t>
        </is>
      </c>
      <c r="D2" s="62" t="inlineStr">
        <is>
          <t>Evidence files reviewed</t>
        </is>
      </c>
      <c r="G2" s="62" t="inlineStr">
        <is>
          <t>Result</t>
        </is>
      </c>
    </row>
    <row r="3" ht="15.5" customHeight="1" s="73">
      <c r="A3" s="63" t="inlineStr">
        <is>
          <t>1</t>
        </is>
      </c>
      <c r="B3" s="64" t="inlineStr">
        <is>
          <t>Application Name</t>
        </is>
      </c>
      <c r="C3" s="65" t="inlineStr">
        <is>
          <t>D</t>
        </is>
      </c>
      <c r="D3" s="65" t="inlineStr">
        <is>
          <t>1 file(s) – MA01</t>
        </is>
      </c>
      <c r="E3" s="66" t="n"/>
      <c r="F3" s="66" t="n"/>
      <c r="G3" s="67" t="inlineStr">
        <is>
          <t>PASS</t>
        </is>
      </c>
    </row>
    <row r="4" ht="15.5" customHeight="1" s="73">
      <c r="A4" s="63" t="inlineStr">
        <is>
          <t>2</t>
        </is>
      </c>
      <c r="B4" s="64" t="inlineStr">
        <is>
          <t>IT DR exercise name</t>
        </is>
      </c>
      <c r="C4" s="65" t="inlineStr">
        <is>
          <t>B</t>
        </is>
      </c>
      <c r="D4" s="65" t="inlineStr">
        <is>
          <t>1 file(s) – E01</t>
        </is>
      </c>
      <c r="E4" s="66" t="n"/>
      <c r="F4" s="66" t="n"/>
      <c r="G4" s="67" t="inlineStr">
        <is>
          <t>PASS</t>
        </is>
      </c>
    </row>
    <row r="5" ht="15.5" customHeight="1" s="73">
      <c r="A5" s="63" t="inlineStr">
        <is>
          <t>3</t>
        </is>
      </c>
      <c r="B5" s="64" t="inlineStr">
        <is>
          <t>IT DR exercise name, was the excercise annually executed?</t>
        </is>
      </c>
      <c r="C5" s="65" t="inlineStr">
        <is>
          <t>C</t>
        </is>
      </c>
      <c r="D5" s="65" t="inlineStr">
        <is>
          <t>3 file(s)</t>
        </is>
      </c>
      <c r="E5" s="66" t="n"/>
      <c r="F5" s="66" t="n"/>
      <c r="G5" s="67" t="inlineStr">
        <is>
          <t>PASS</t>
        </is>
      </c>
    </row>
    <row r="6" ht="15.5" customHeight="1" s="73">
      <c r="A6" s="63" t="inlineStr">
        <is>
          <t>4</t>
        </is>
      </c>
      <c r="B6" s="64" t="inlineStr">
        <is>
          <t>Business Tester</t>
        </is>
      </c>
      <c r="C6" s="65" t="inlineStr">
        <is>
          <t>E</t>
        </is>
      </c>
      <c r="D6" s="65" t="inlineStr">
        <is>
          <t>1 file(s) – E03</t>
        </is>
      </c>
      <c r="E6" s="66" t="n"/>
      <c r="F6" s="66" t="n"/>
      <c r="G6" s="67" t="inlineStr">
        <is>
          <t>PASS</t>
        </is>
      </c>
    </row>
    <row r="7" ht="15.5" customHeight="1" s="73">
      <c r="A7" s="63" t="inlineStr">
        <is>
          <t>5</t>
        </is>
      </c>
      <c r="B7" s="64" t="inlineStr">
        <is>
          <t>Business Data validation</t>
        </is>
      </c>
      <c r="C7" s="65" t="inlineStr">
        <is>
          <t>F</t>
        </is>
      </c>
      <c r="D7" s="65" t="inlineStr">
        <is>
          <t>1 file(s) – E03</t>
        </is>
      </c>
      <c r="E7" s="66" t="n"/>
      <c r="F7" s="66" t="n"/>
      <c r="G7" s="67" t="inlineStr">
        <is>
          <t>PASS</t>
        </is>
      </c>
    </row>
    <row r="8" ht="15.5" customHeight="1" s="73">
      <c r="A8" s="63" t="inlineStr">
        <is>
          <t>6</t>
        </is>
      </c>
      <c r="B8" s="64" t="inlineStr">
        <is>
          <t>Business line manager name</t>
        </is>
      </c>
      <c r="C8" s="65" t="inlineStr">
        <is>
          <t>G</t>
        </is>
      </c>
      <c r="D8" s="65" t="inlineStr">
        <is>
          <t>1 file(s) – E03</t>
        </is>
      </c>
      <c r="E8" s="66" t="n"/>
      <c r="F8" s="66" t="n"/>
      <c r="G8" s="67" t="inlineStr">
        <is>
          <t>PASS</t>
        </is>
      </c>
    </row>
    <row r="9" ht="15.5" customHeight="1" s="73">
      <c r="A9" s="63" t="inlineStr">
        <is>
          <t>7</t>
        </is>
      </c>
      <c r="B9" s="64" t="inlineStr">
        <is>
          <t>Business line manager approval dates</t>
        </is>
      </c>
      <c r="C9" s="65" t="inlineStr">
        <is>
          <t>H</t>
        </is>
      </c>
      <c r="D9" s="65" t="inlineStr">
        <is>
          <t>1 file(s) – E03</t>
        </is>
      </c>
      <c r="E9" s="66" t="n"/>
      <c r="F9" s="66" t="n"/>
      <c r="G9" s="67" t="inlineStr">
        <is>
          <t>PASS</t>
        </is>
      </c>
    </row>
    <row r="10" ht="15.5" customHeight="1" s="73">
      <c r="A10" s="63" t="inlineStr">
        <is>
          <t>8</t>
        </is>
      </c>
      <c r="B10" s="64" t="inlineStr">
        <is>
          <t>DIV Test procedures listed within the Test results document</t>
        </is>
      </c>
      <c r="C10" s="65" t="inlineStr">
        <is>
          <t>I</t>
        </is>
      </c>
      <c r="D10" s="65" t="inlineStr">
        <is>
          <t>1 file(s) – E03</t>
        </is>
      </c>
      <c r="E10" s="66" t="n"/>
      <c r="F10" s="66" t="n"/>
      <c r="G10" s="67" t="inlineStr">
        <is>
          <t>PASS</t>
        </is>
      </c>
    </row>
    <row r="11" ht="15.5" customHeight="1" s="73">
      <c r="A11" s="63" t="inlineStr">
        <is>
          <t>9</t>
        </is>
      </c>
      <c r="B11" s="64" t="inlineStr">
        <is>
          <t>Emails showing Business line manager approval of DIV testing results</t>
        </is>
      </c>
      <c r="C11" s="65" t="inlineStr">
        <is>
          <t>J</t>
        </is>
      </c>
      <c r="D11" s="65" t="inlineStr">
        <is>
          <t>5 file(s) – BLA06, DMA01, DMA02, DMA03, DMA04</t>
        </is>
      </c>
      <c r="E11" s="66" t="n"/>
      <c r="F11" s="66" t="n"/>
      <c r="G11" s="67" t="inlineStr">
        <is>
          <t>PASS</t>
        </is>
      </c>
    </row>
    <row r="12" ht="15.5" customHeight="1" s="73">
      <c r="A12" s="63" t="inlineStr">
        <is>
          <t>10</t>
        </is>
      </c>
      <c r="B12" s="64" t="inlineStr">
        <is>
          <t>All evidence of Data Integrity DR test in BCIC</t>
        </is>
      </c>
      <c r="C12" s="65" t="inlineStr">
        <is>
          <t>K</t>
        </is>
      </c>
      <c r="D12" s="65" t="inlineStr">
        <is>
          <t>1 file(s) – E03</t>
        </is>
      </c>
      <c r="E12" s="66" t="n"/>
      <c r="F12" s="66" t="n"/>
      <c r="G12" s="67" t="inlineStr">
        <is>
          <t>PASS</t>
        </is>
      </c>
    </row>
    <row r="13" ht="15.5" customHeight="1" s="73">
      <c r="A13" s="63" t="inlineStr">
        <is>
          <t>11</t>
        </is>
      </c>
      <c r="B13" s="64" t="inlineStr">
        <is>
          <t>Annual Testing Executed</t>
        </is>
      </c>
      <c r="C13" s="65" t="inlineStr">
        <is>
          <t>L</t>
        </is>
      </c>
      <c r="D13" s="65" t="inlineStr">
        <is>
          <t>1 file(s) – E01</t>
        </is>
      </c>
      <c r="E13" s="66" t="n"/>
      <c r="F13" s="66" t="n"/>
      <c r="G13" s="67" t="inlineStr">
        <is>
          <t>PASS</t>
        </is>
      </c>
    </row>
    <row r="14" ht="15.5" customHeight="1" s="73">
      <c r="A14" s="63" t="inlineStr">
        <is>
          <t>12</t>
        </is>
      </c>
      <c r="B14" s="64" t="inlineStr">
        <is>
          <t>Data Integrity Validation Performed by IT DR Team</t>
        </is>
      </c>
      <c r="C14" s="65" t="inlineStr">
        <is>
          <t>M</t>
        </is>
      </c>
      <c r="D14" s="65" t="inlineStr">
        <is>
          <t>1 file(s) – E05</t>
        </is>
      </c>
      <c r="E14" s="66" t="n"/>
      <c r="F14" s="66" t="n"/>
      <c r="G14" s="67" t="inlineStr">
        <is>
          <t>PASS</t>
        </is>
      </c>
    </row>
    <row r="15" ht="15.5" customHeight="1" s="73">
      <c r="A15" s="63" t="inlineStr">
        <is>
          <t>13</t>
        </is>
      </c>
      <c r="B15" s="64" t="inlineStr">
        <is>
          <t>Applications in Scope Identified</t>
        </is>
      </c>
      <c r="C15" s="65" t="inlineStr">
        <is>
          <t>N</t>
        </is>
      </c>
      <c r="D15" s="65" t="inlineStr">
        <is>
          <t>1 file(s) – MA01</t>
        </is>
      </c>
      <c r="E15" s="66" t="n"/>
      <c r="F15" s="66" t="n"/>
      <c r="G15" s="67" t="inlineStr">
        <is>
          <t>PASS</t>
        </is>
      </c>
    </row>
    <row r="16" ht="15.5" customHeight="1" s="73">
      <c r="A16" s="63" t="inlineStr">
        <is>
          <t>14</t>
        </is>
      </c>
      <c r="B16" s="64" t="inlineStr">
        <is>
          <t>Business Line Approval of Results</t>
        </is>
      </c>
      <c r="C16" s="65" t="inlineStr">
        <is>
          <t>O</t>
        </is>
      </c>
      <c r="D16" s="65" t="inlineStr">
        <is>
          <t>5 file(s) – BLA06, DMA01, DMA02, DMA03, DMA04</t>
        </is>
      </c>
      <c r="E16" s="66" t="n"/>
      <c r="F16" s="66" t="n"/>
      <c r="G16" s="67" t="inlineStr">
        <is>
          <t>PASS</t>
        </is>
      </c>
    </row>
    <row r="17" ht="15.5" customHeight="1" s="73">
      <c r="A17" s="63" t="inlineStr">
        <is>
          <t>—</t>
        </is>
      </c>
      <c r="B17" s="64" t="inlineStr">
        <is>
          <t>Evidence review – original reference information (folders 01–04)</t>
        </is>
      </c>
      <c r="C17" s="65" t="inlineStr">
        <is>
          <t>—</t>
        </is>
      </c>
      <c r="D17" s="65" t="inlineStr">
        <is>
          <t>31 file(s)</t>
        </is>
      </c>
      <c r="E17" s="66" t="n"/>
      <c r="F17" s="66" t="n"/>
      <c r="G17" s="67" t="inlineStr">
        <is>
          <t>PASS</t>
        </is>
      </c>
    </row>
    <row r="18" ht="15.5" customHeight="1" s="73">
      <c r="A18" s="63" t="inlineStr">
        <is>
          <t>—</t>
        </is>
      </c>
      <c r="B18" s="64" t="inlineStr">
        <is>
          <t>Evidence reference table – evidence number → attribute tests</t>
        </is>
      </c>
      <c r="C18" s="65" t="inlineStr">
        <is>
          <t>—</t>
        </is>
      </c>
      <c r="D18" s="65" t="inlineStr">
        <is>
          <t>31 file(s)</t>
        </is>
      </c>
      <c r="E18" s="66" t="n"/>
      <c r="F18" s="66" t="n"/>
      <c r="G18" s="67" t="inlineStr">
        <is>
          <t>PASS</t>
        </is>
      </c>
    </row>
    <row r="19" ht="15.5" customHeight="1" s="73">
      <c r="A19" s="63" t="inlineStr">
        <is>
          <t>—</t>
        </is>
      </c>
      <c r="B19" s="64" t="inlineStr">
        <is>
          <t>Conclusion – all applications in scope (PASS) with evidence references</t>
        </is>
      </c>
      <c r="C19" s="65" t="inlineStr">
        <is>
          <t>—</t>
        </is>
      </c>
      <c r="D19" s="65" t="inlineStr">
        <is>
          <t>10 applications</t>
        </is>
      </c>
      <c r="E19" s="66" t="n"/>
      <c r="F19" s="66" t="n"/>
      <c r="G19" s="67" t="inlineStr">
        <is>
          <t>PASS</t>
        </is>
      </c>
    </row>
    <row r="20" s="73"/>
    <row r="21" ht="15.5" customHeight="1" s="73">
      <c r="A21" s="87" t="inlineStr">
        <is>
          <t>1. Application Name (column D) – Review of evidence files and results</t>
        </is>
      </c>
    </row>
    <row r="22" ht="26" customHeight="1" s="73">
      <c r="A22" s="62" t="inlineStr">
        <is>
          <t>Ref</t>
        </is>
      </c>
      <c r="B22" s="62" t="inlineStr">
        <is>
          <t>Evidence file (repository location)</t>
        </is>
      </c>
      <c r="C22" s="62" t="inlineStr">
        <is>
          <t>Date / owner / operator</t>
        </is>
      </c>
      <c r="D22" s="62" t="inlineStr">
        <is>
          <t>Applications tested (source rows)</t>
        </is>
      </c>
      <c r="E22" s="62" t="inlineStr">
        <is>
          <t>Content reviewed</t>
        </is>
      </c>
      <c r="F22" s="62" t="inlineStr">
        <is>
          <t>Conclusion / samples supported</t>
        </is>
      </c>
      <c r="G22" s="62" t="inlineStr">
        <is>
          <t>Control Sample Assessment Result (Pass/Fail)</t>
        </is>
      </c>
    </row>
    <row r="23" ht="340" customHeight="1" s="73">
      <c r="A23" s="69" t="inlineStr">
        <is>
          <t>MA01</t>
        </is>
      </c>
      <c r="B23" s="65" t="inlineStr">
        <is>
          <t>BSI.IT.6.C7.3-Evidences\01_Management_Attestation_In-Scope_Applications\MA01_BSI In-Scope Applications-2026.png</t>
        </is>
      </c>
      <c r="C23" s="65" t="inlineStr">
        <is>
          <t>09/23/2026 – Cesar Vidal (BCiC walkthrough)</t>
        </is>
      </c>
      <c r="D23" s="65" t="inlineStr">
        <is>
          <t>1822 ACH Express
1867 FedExport - BSI
1868 FedImport - BSI
3299 Imaging101
4052 Interface Monitor
3301 MQ Payment Monitor
1903 OFAC - BSI
1917 ReconXpert
1936 Swift Interface - BSI
1937 T24</t>
        </is>
      </c>
      <c r="E23"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23" s="65" t="inlineStr">
        <is>
          <t>Supports Application Name (column D) – samples 1822, 1867, 1868, 3299, 4052, 3301, 1903, 1917, 1936, 1937</t>
        </is>
      </c>
      <c r="G23" s="67" t="inlineStr">
        <is>
          <t>PASS</t>
        </is>
      </c>
    </row>
    <row r="24" s="73"/>
    <row r="25" ht="15.5" customHeight="1" s="73">
      <c r="A25" s="87" t="inlineStr">
        <is>
          <t>2. IT DR exercise name (column B) – Review of evidence files and results</t>
        </is>
      </c>
    </row>
    <row r="26" ht="26" customHeight="1" s="73">
      <c r="A26" s="62" t="inlineStr">
        <is>
          <t>Ref</t>
        </is>
      </c>
      <c r="B26" s="62" t="inlineStr">
        <is>
          <t>Evidence file (repository location)</t>
        </is>
      </c>
      <c r="C26" s="62" t="inlineStr">
        <is>
          <t>Date / owner / operator</t>
        </is>
      </c>
      <c r="D26" s="62" t="inlineStr">
        <is>
          <t>Applications tested (source rows)</t>
        </is>
      </c>
      <c r="E26" s="62" t="inlineStr">
        <is>
          <t>Content reviewed</t>
        </is>
      </c>
      <c r="F26" s="62" t="inlineStr">
        <is>
          <t>Conclusion / samples supported</t>
        </is>
      </c>
      <c r="G26" s="62" t="inlineStr">
        <is>
          <t>Control Sample Assessment Result (Pass/Fail)</t>
        </is>
      </c>
    </row>
    <row r="27" ht="126" customHeight="1" s="73">
      <c r="A27" s="69" t="inlineStr">
        <is>
          <t>E01</t>
        </is>
      </c>
      <c r="B27" s="65" t="inlineStr">
        <is>
          <t>BSI.IT.6.C7.3-Evidences\04_Data_Integrity_and_Email_Testing_Evidence\BSI.IT.6.C7.3_E01_Applications In Scope for DR Test BSI (13).xlsx</t>
        </is>
      </c>
      <c r="C27" s="65" t="inlineStr">
        <is>
          <t>BCiC – Applications In Scope for DR Test BSI</t>
        </is>
      </c>
      <c r="D27"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27" s="65" t="inlineStr">
        <is>
          <t>BCiC export of the BSI DR-scope population (43 applications) with Exercise Date and 2025 DR / Backup-Restore / DIV scope flags.
Checked for IT DR exercise name:
• Exercise Date 12/11/25, 2025 DR Test Scope = True
• Exercise Date 11/15/25, 2025 DR Test Scope = True</t>
        </is>
      </c>
      <c r="F27" s="65" t="inlineStr">
        <is>
          <t>Supports IT DR exercise name (column B) – samples 1822, 1867, 1868, 3299, 4052, 3301, 1903, 1917, 1936, 1937</t>
        </is>
      </c>
      <c r="G27" s="67" t="inlineStr">
        <is>
          <t>PASS</t>
        </is>
      </c>
    </row>
    <row r="28" s="73"/>
    <row r="29" s="73"/>
    <row r="30" ht="15.5" customHeight="1" s="73">
      <c r="A30" s="87" t="inlineStr">
        <is>
          <t>4. Business Tester (column E) – Review of evidence files and results</t>
        </is>
      </c>
    </row>
    <row r="31" ht="26" customHeight="1" s="73">
      <c r="A31" s="62" t="inlineStr">
        <is>
          <t>Ref</t>
        </is>
      </c>
      <c r="B31" s="62" t="inlineStr">
        <is>
          <t>Evidence file (repository location)</t>
        </is>
      </c>
      <c r="C31" s="62" t="inlineStr">
        <is>
          <t>Date / owner / operator</t>
        </is>
      </c>
      <c r="D31" s="62" t="inlineStr">
        <is>
          <t>Applications tested (source rows)</t>
        </is>
      </c>
      <c r="E31" s="62" t="inlineStr">
        <is>
          <t>Content reviewed</t>
        </is>
      </c>
      <c r="F31" s="62" t="inlineStr">
        <is>
          <t>Conclusion / samples supported</t>
        </is>
      </c>
      <c r="G31" s="62" t="inlineStr">
        <is>
          <t>Control Sample Assessment Result (Pass/Fail)</t>
        </is>
      </c>
    </row>
    <row r="32" ht="174" customHeight="1" s="73">
      <c r="A32" s="69" t="inlineStr">
        <is>
          <t>E03</t>
        </is>
      </c>
      <c r="B32" s="65" t="inlineStr">
        <is>
          <t>BSI.IT.6.C7.3-Evidences\04_Data_Integrity_and_Email_Testing_Evidence\BSI.IT.6.C7.3_E03_All Data Integrity Validation Testing_FV.xls</t>
        </is>
      </c>
      <c r="C32" s="65" t="inlineStr">
        <is>
          <t>BCiC – Data Integrity Validation Testing (62 records)</t>
        </is>
      </c>
      <c r="D32"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2" s="65"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32" s="65" t="inlineStr">
        <is>
          <t>Supports Business Tester (column E) – samples 1822, 1867, 1868, 3299, 4052, 3301, 1903, 1917, 1936, 1937</t>
        </is>
      </c>
      <c r="G32" s="67" t="inlineStr">
        <is>
          <t>PASS</t>
        </is>
      </c>
    </row>
    <row r="33" s="73"/>
    <row r="34" ht="15.5" customHeight="1" s="73">
      <c r="A34" s="87" t="inlineStr">
        <is>
          <t>5. Business Data validation (column F) – Review of evidence files and results</t>
        </is>
      </c>
    </row>
    <row r="35" ht="26" customHeight="1" s="73">
      <c r="A35" s="62" t="inlineStr">
        <is>
          <t>Ref</t>
        </is>
      </c>
      <c r="B35" s="62" t="inlineStr">
        <is>
          <t>Evidence file (repository location)</t>
        </is>
      </c>
      <c r="C35" s="62" t="inlineStr">
        <is>
          <t>Date / owner / operator</t>
        </is>
      </c>
      <c r="D35" s="62" t="inlineStr">
        <is>
          <t>Applications tested (source rows)</t>
        </is>
      </c>
      <c r="E35" s="62" t="inlineStr">
        <is>
          <t>Content reviewed</t>
        </is>
      </c>
      <c r="F35" s="62" t="inlineStr">
        <is>
          <t>Conclusion / samples supported</t>
        </is>
      </c>
      <c r="G35" s="62" t="inlineStr">
        <is>
          <t>Control Sample Assessment Result (Pass/Fail)</t>
        </is>
      </c>
    </row>
    <row r="36" ht="174" customHeight="1" s="73">
      <c r="A36" s="69" t="inlineStr">
        <is>
          <t>E03</t>
        </is>
      </c>
      <c r="B36" s="65" t="inlineStr">
        <is>
          <t>BSI.IT.6.C7.3-Evidences\04_Data_Integrity_and_Email_Testing_Evidence\BSI.IT.6.C7.3_E03_All Data Integrity Validation Testing_FV.xls</t>
        </is>
      </c>
      <c r="C36" s="65" t="inlineStr">
        <is>
          <t>BCiC – Data Integrity Validation Testing (62 records)</t>
        </is>
      </c>
      <c r="D36"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6" s="65"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36" s="65" t="inlineStr">
        <is>
          <t>Supports Business Data validation (column F) – samples 1822, 1867, 1868, 3299, 4052, 3301, 1903, 1917, 1936, 1937</t>
        </is>
      </c>
      <c r="G36" s="67" t="inlineStr">
        <is>
          <t>PASS</t>
        </is>
      </c>
    </row>
    <row r="37" s="73"/>
    <row r="38" ht="15.5" customHeight="1" s="73">
      <c r="A38" s="87" t="inlineStr">
        <is>
          <t>6. Business line manager name (column G) – Review of evidence files and results</t>
        </is>
      </c>
    </row>
    <row r="39" ht="26" customHeight="1" s="73">
      <c r="A39" s="62" t="inlineStr">
        <is>
          <t>Ref</t>
        </is>
      </c>
      <c r="B39" s="62" t="inlineStr">
        <is>
          <t>Evidence file (repository location)</t>
        </is>
      </c>
      <c r="C39" s="62" t="inlineStr">
        <is>
          <t>Date / owner / operator</t>
        </is>
      </c>
      <c r="D39" s="62" t="inlineStr">
        <is>
          <t>Applications tested (source rows)</t>
        </is>
      </c>
      <c r="E39" s="62" t="inlineStr">
        <is>
          <t>Content reviewed</t>
        </is>
      </c>
      <c r="F39" s="62" t="inlineStr">
        <is>
          <t>Conclusion / samples supported</t>
        </is>
      </c>
      <c r="G39" s="62" t="inlineStr">
        <is>
          <t>Control Sample Assessment Result (Pass/Fail)</t>
        </is>
      </c>
    </row>
    <row r="40" ht="174" customHeight="1" s="73">
      <c r="A40" s="69" t="inlineStr">
        <is>
          <t>E03</t>
        </is>
      </c>
      <c r="B40" s="65" t="inlineStr">
        <is>
          <t>BSI.IT.6.C7.3-Evidences\04_Data_Integrity_and_Email_Testing_Evidence\BSI.IT.6.C7.3_E03_All Data Integrity Validation Testing_FV.xls</t>
        </is>
      </c>
      <c r="C40" s="65" t="inlineStr">
        <is>
          <t>BCiC – Data Integrity Validation Testing (62 records)</t>
        </is>
      </c>
      <c r="D4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0" s="65"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40" s="65" t="inlineStr">
        <is>
          <t>Supports Business line manager name (column G) – samples 1822, 1867, 1868, 3299, 4052, 3301, 1903, 1917, 1936, 1937</t>
        </is>
      </c>
      <c r="G40" s="67" t="inlineStr">
        <is>
          <t>PASS</t>
        </is>
      </c>
    </row>
    <row r="41" s="73"/>
    <row r="42" ht="15.5" customHeight="1" s="73">
      <c r="A42" s="87" t="inlineStr">
        <is>
          <t>7. Business line manager approval dates (column H) – Review of evidence files and results</t>
        </is>
      </c>
    </row>
    <row r="43" ht="26" customHeight="1" s="73">
      <c r="A43" s="62" t="inlineStr">
        <is>
          <t>Ref</t>
        </is>
      </c>
      <c r="B43" s="62" t="inlineStr">
        <is>
          <t>Evidence file (repository location)</t>
        </is>
      </c>
      <c r="C43" s="62" t="inlineStr">
        <is>
          <t>Date / owner / operator</t>
        </is>
      </c>
      <c r="D43" s="62" t="inlineStr">
        <is>
          <t>Applications tested (source rows)</t>
        </is>
      </c>
      <c r="E43" s="62" t="inlineStr">
        <is>
          <t>Content reviewed</t>
        </is>
      </c>
      <c r="F43" s="62" t="inlineStr">
        <is>
          <t>Conclusion / samples supported</t>
        </is>
      </c>
      <c r="G43" s="62" t="inlineStr">
        <is>
          <t>Control Sample Assessment Result (Pass/Fail)</t>
        </is>
      </c>
    </row>
    <row r="44" ht="174" customHeight="1" s="73">
      <c r="A44" s="69" t="inlineStr">
        <is>
          <t>E03</t>
        </is>
      </c>
      <c r="B44" s="65" t="inlineStr">
        <is>
          <t>BSI.IT.6.C7.3-Evidences\04_Data_Integrity_and_Email_Testing_Evidence\BSI.IT.6.C7.3_E03_All Data Integrity Validation Testing_FV.xls</t>
        </is>
      </c>
      <c r="C44" s="65" t="inlineStr">
        <is>
          <t>BCiC – Data Integrity Validation Testing (62 records)</t>
        </is>
      </c>
      <c r="D44"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4" s="65"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44" s="65" t="inlineStr">
        <is>
          <t>Supports Business line manager approval dates (column H) – samples 1822, 1867, 1868, 3299, 4052, 3301, 1903, 1917, 1936, 1937</t>
        </is>
      </c>
      <c r="G44" s="67" t="inlineStr">
        <is>
          <t>PASS</t>
        </is>
      </c>
    </row>
    <row r="45" s="73"/>
    <row r="46" ht="15.5" customHeight="1" s="73">
      <c r="A46" s="87" t="inlineStr">
        <is>
          <t>8. DIV Test procedures listed within the Test results document (column I) – Review of evidence files and results</t>
        </is>
      </c>
    </row>
    <row r="47" ht="26" customHeight="1" s="73">
      <c r="A47" s="62" t="inlineStr">
        <is>
          <t>Ref</t>
        </is>
      </c>
      <c r="B47" s="62" t="inlineStr">
        <is>
          <t>Evidence file (repository location)</t>
        </is>
      </c>
      <c r="C47" s="62" t="inlineStr">
        <is>
          <t>Date / owner / operator</t>
        </is>
      </c>
      <c r="D47" s="62" t="inlineStr">
        <is>
          <t>Applications tested (source rows)</t>
        </is>
      </c>
      <c r="E47" s="62" t="inlineStr">
        <is>
          <t>Content reviewed</t>
        </is>
      </c>
      <c r="F47" s="62" t="inlineStr">
        <is>
          <t>Conclusion / samples supported</t>
        </is>
      </c>
      <c r="G47" s="62" t="inlineStr">
        <is>
          <t>Control Sample Assessment Result (Pass/Fail)</t>
        </is>
      </c>
    </row>
    <row r="48" ht="174" customHeight="1" s="73">
      <c r="A48" s="69" t="inlineStr">
        <is>
          <t>E03</t>
        </is>
      </c>
      <c r="B48" s="65" t="inlineStr">
        <is>
          <t>BSI.IT.6.C7.3-Evidences\04_Data_Integrity_and_Email_Testing_Evidence\BSI.IT.6.C7.3_E03_All Data Integrity Validation Testing_FV.xls</t>
        </is>
      </c>
      <c r="C48" s="65" t="inlineStr">
        <is>
          <t>BCiC – Data Integrity Validation Testing (62 records)</t>
        </is>
      </c>
      <c r="D48"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8" s="65"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48" s="65" t="inlineStr">
        <is>
          <t>Supports DIV Test procedures listed within the Test results document (column I) – samples 1822, 1867, 1868, 3299, 4052, 3301, 1903, 1917, 1936, 1937</t>
        </is>
      </c>
      <c r="G48" s="67" t="inlineStr">
        <is>
          <t>PASS</t>
        </is>
      </c>
    </row>
    <row r="49" s="73"/>
    <row r="50" ht="15.5" customHeight="1" s="73">
      <c r="A50" s="87" t="inlineStr">
        <is>
          <t>9. Emails showing Business line manager approval of DIV testing results (column J) – Review of evidence files and results</t>
        </is>
      </c>
    </row>
    <row r="51" ht="26" customHeight="1" s="73">
      <c r="A51" s="62" t="inlineStr">
        <is>
          <t>Ref</t>
        </is>
      </c>
      <c r="B51" s="62" t="inlineStr">
        <is>
          <t>Evidence file (repository location)</t>
        </is>
      </c>
      <c r="C51" s="62" t="inlineStr">
        <is>
          <t>Date / owner / operator</t>
        </is>
      </c>
      <c r="D51" s="62" t="inlineStr">
        <is>
          <t>Applications tested (source rows)</t>
        </is>
      </c>
      <c r="E51" s="62" t="inlineStr">
        <is>
          <t>Content reviewed</t>
        </is>
      </c>
      <c r="F51" s="62" t="inlineStr">
        <is>
          <t>Conclusion / samples supported</t>
        </is>
      </c>
      <c r="G51" s="62" t="inlineStr">
        <is>
          <t>Control Sample Assessment Result (Pass/Fail)</t>
        </is>
      </c>
    </row>
    <row r="52" ht="90" customHeight="1" s="73">
      <c r="A52" s="69" t="inlineStr">
        <is>
          <t>BLA06</t>
        </is>
      </c>
      <c r="B52" s="65" t="inlineStr">
        <is>
          <t>BSI.IT.6.C7.3-Evidences\02_Business_Line_Approval_Results_Email\BLA06_RE_ Testing enviroment - Financial Analysis Manager Approval - Sadis Alvarenga 01-26-2026.msg</t>
        </is>
      </c>
      <c r="C52" s="65" t="inlineStr">
        <is>
          <t>12/31/2025 &amp; 01/26/2026 – Sadis Alvarenga</t>
        </is>
      </c>
      <c r="D52" s="65" t="inlineStr">
        <is>
          <t>1917 ReconXpert
1937 T24</t>
        </is>
      </c>
      <c r="E52" s="65"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52" s="65" t="inlineStr">
        <is>
          <t>Supports Emails showing Business line manager approval of DIV testing results (column J) – samples 1917, 1937</t>
        </is>
      </c>
      <c r="G52" s="67" t="inlineStr">
        <is>
          <t>PASS</t>
        </is>
      </c>
    </row>
    <row r="53" ht="90" customHeight="1" s="73">
      <c r="A53" s="69" t="inlineStr">
        <is>
          <t>DMA01</t>
        </is>
      </c>
      <c r="B53" s="65" t="inlineStr">
        <is>
          <t>BSI.IT.6.C7.3-Evidences\03_DIV_Manager_Attestation_Email_Approvals\DMA01_RE_ Management Attestation – DIV – Client Back Office - Claudia Romero 08-18-2026.msg</t>
        </is>
      </c>
      <c r="C53" s="65" t="inlineStr">
        <is>
          <t>08/18/2026 – Claudia Romero</t>
        </is>
      </c>
      <c r="D53" s="65" t="inlineStr">
        <is>
          <t>1822 ACH Express
1867 FedExport - BSI
1868 FedImport - BSI
3299 Imaging101
1937 T24</t>
        </is>
      </c>
      <c r="E53" s="65"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53" s="65" t="inlineStr">
        <is>
          <t>Supports Emails showing Business line manager approval of DIV testing results (column J) – samples 1822, 1867, 1868, 3299, 1937</t>
        </is>
      </c>
      <c r="G53" s="67" t="inlineStr">
        <is>
          <t>PASS</t>
        </is>
      </c>
    </row>
    <row r="54" ht="148" customHeight="1" s="73">
      <c r="A54" s="69" t="inlineStr">
        <is>
          <t>DMA02</t>
        </is>
      </c>
      <c r="B54" s="65" t="inlineStr">
        <is>
          <t>BSI.IT.6.C7.3-Evidences\03_DIV_Manager_Attestation_Email_Approvals\DMA02_RE_ Management Attestation – DIV – BSA-AML-OFAC Compliance - David Marquez 08-19-2026.msg</t>
        </is>
      </c>
      <c r="C54" s="65" t="inlineStr">
        <is>
          <t>08/19/2026 – David Marquez</t>
        </is>
      </c>
      <c r="D54" s="65" t="inlineStr">
        <is>
          <t>3299 Imaging101
1903 OFAC - BSI
1936 Swift Interface - BSI
1937 T24</t>
        </is>
      </c>
      <c r="E5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54" s="65" t="inlineStr">
        <is>
          <t>Supports Emails showing Business line manager approval of DIV testing results (column J) – samples 3299, 1903, 1936, 1937</t>
        </is>
      </c>
      <c r="G54" s="67" t="inlineStr">
        <is>
          <t>PASS</t>
        </is>
      </c>
    </row>
    <row r="55" ht="90" customHeight="1" s="73">
      <c r="A55" s="69" t="inlineStr">
        <is>
          <t>DMA03</t>
        </is>
      </c>
      <c r="B55" s="65" t="inlineStr">
        <is>
          <t>BSI.IT.6.C7.3-Evidences\03_DIV_Manager_Attestation_Email_Approvals\DMA03_RE_ Management Attestation – DIV – Payments &amp; Cash Management - Frank Puentes 08-18-2026.msg</t>
        </is>
      </c>
      <c r="C55" s="65" t="inlineStr">
        <is>
          <t>08/18/2026 – Frank Puentes</t>
        </is>
      </c>
      <c r="D55" s="65" t="inlineStr">
        <is>
          <t>3301 MQ Payment Monitor
1903 OFAC - BSI
1937 T24</t>
        </is>
      </c>
      <c r="E55" s="65"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55" s="65" t="inlineStr">
        <is>
          <t>Supports Emails showing Business line manager approval of DIV testing results (column J) – samples 3301, 1903, 1937</t>
        </is>
      </c>
      <c r="G55" s="67" t="inlineStr">
        <is>
          <t>PASS</t>
        </is>
      </c>
    </row>
    <row r="56" ht="100" customHeight="1" s="73">
      <c r="A56" s="69" t="inlineStr">
        <is>
          <t>DMA04</t>
        </is>
      </c>
      <c r="B56" s="65" t="inlineStr">
        <is>
          <t>BSI.IT.6.C7.3-Evidences\03_DIV_Manager_Attestation_Email_Approvals\DMA04_RE_ Management Attestation – DIV – Investment Operations - Michelle Oropesa 08-17-2026.msg</t>
        </is>
      </c>
      <c r="C56" s="65" t="inlineStr">
        <is>
          <t>08/17/2026 – Michelle Oropesa</t>
        </is>
      </c>
      <c r="D56" s="65" t="inlineStr">
        <is>
          <t>4052 Interface Monitor
1936 Swift Interface - BSI
1937 T24</t>
        </is>
      </c>
      <c r="E56" s="65"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56" s="65" t="inlineStr">
        <is>
          <t>Supports Emails showing Business line manager approval of DIV testing results (column J) – samples 4052, 1936, 1937</t>
        </is>
      </c>
      <c r="G56" s="67" t="inlineStr">
        <is>
          <t>PASS</t>
        </is>
      </c>
    </row>
    <row r="57" s="73"/>
    <row r="58" ht="15.5" customHeight="1" s="73">
      <c r="A58" s="87" t="inlineStr">
        <is>
          <t>10. All evidence of Data Integrity DR test in BCIC (column K) – Review of evidence files and results</t>
        </is>
      </c>
    </row>
    <row r="59" ht="26" customHeight="1" s="73">
      <c r="A59" s="62" t="inlineStr">
        <is>
          <t>Ref</t>
        </is>
      </c>
      <c r="B59" s="62" t="inlineStr">
        <is>
          <t>Evidence file (repository location)</t>
        </is>
      </c>
      <c r="C59" s="62" t="inlineStr">
        <is>
          <t>Date / owner / operator</t>
        </is>
      </c>
      <c r="D59" s="62" t="inlineStr">
        <is>
          <t>Applications tested (source rows)</t>
        </is>
      </c>
      <c r="E59" s="62" t="inlineStr">
        <is>
          <t>Content reviewed</t>
        </is>
      </c>
      <c r="F59" s="62" t="inlineStr">
        <is>
          <t>Conclusion / samples supported</t>
        </is>
      </c>
      <c r="G59" s="62" t="inlineStr">
        <is>
          <t>Control Sample Assessment Result (Pass/Fail)</t>
        </is>
      </c>
    </row>
    <row r="60" ht="174" customHeight="1" s="73">
      <c r="A60" s="69" t="inlineStr">
        <is>
          <t>E03</t>
        </is>
      </c>
      <c r="B60" s="65" t="inlineStr">
        <is>
          <t>BSI.IT.6.C7.3-Evidences\04_Data_Integrity_and_Email_Testing_Evidence\BSI.IT.6.C7.3_E03_All Data Integrity Validation Testing_FV.xls</t>
        </is>
      </c>
      <c r="C60" s="65" t="inlineStr">
        <is>
          <t>BCiC – Data Integrity Validation Testing (62 records)</t>
        </is>
      </c>
      <c r="D6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60" s="65"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60" s="65" t="inlineStr">
        <is>
          <t>Supports All evidence of Data Integrity DR test in BCIC (column K) – samples 1822, 1867, 1868, 3299, 4052, 3301, 1903, 1917, 1936, 1937</t>
        </is>
      </c>
      <c r="G60" s="67" t="inlineStr">
        <is>
          <t>PASS</t>
        </is>
      </c>
    </row>
    <row r="61" s="73"/>
    <row r="62" ht="15.5" customHeight="1" s="73">
      <c r="A62" s="87" t="inlineStr">
        <is>
          <t>11. Annual Testing Executed (column L) – Review of evidence files and results</t>
        </is>
      </c>
    </row>
    <row r="63" ht="26" customHeight="1" s="73">
      <c r="A63" s="62" t="inlineStr">
        <is>
          <t>Ref</t>
        </is>
      </c>
      <c r="B63" s="62" t="inlineStr">
        <is>
          <t>Evidence file (repository location)</t>
        </is>
      </c>
      <c r="C63" s="62" t="inlineStr">
        <is>
          <t>Date / owner / operator</t>
        </is>
      </c>
      <c r="D63" s="62" t="inlineStr">
        <is>
          <t>Applications tested (source rows)</t>
        </is>
      </c>
      <c r="E63" s="62" t="inlineStr">
        <is>
          <t>Content reviewed</t>
        </is>
      </c>
      <c r="F63" s="62" t="inlineStr">
        <is>
          <t>Conclusion / samples supported</t>
        </is>
      </c>
      <c r="G63" s="62" t="inlineStr">
        <is>
          <t>Control Sample Assessment Result (Pass/Fail)</t>
        </is>
      </c>
    </row>
    <row r="64" ht="126" customHeight="1" s="73">
      <c r="A64" s="69" t="inlineStr">
        <is>
          <t>E01</t>
        </is>
      </c>
      <c r="B64" s="65" t="inlineStr">
        <is>
          <t>BSI.IT.6.C7.3-Evidences\04_Data_Integrity_and_Email_Testing_Evidence\BSI.IT.6.C7.3_E01_Applications In Scope for DR Test BSI (13).xlsx</t>
        </is>
      </c>
      <c r="C64" s="65" t="inlineStr">
        <is>
          <t>BCiC – Applications In Scope for DR Test BSI</t>
        </is>
      </c>
      <c r="D64"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64" s="65"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64" s="65" t="inlineStr">
        <is>
          <t>Supports Annual Testing Executed (column L) – samples 1822, 1867, 1868, 3299, 4052, 3301, 1903, 1917, 1936, 1937</t>
        </is>
      </c>
      <c r="G64" s="67" t="inlineStr">
        <is>
          <t>PASS</t>
        </is>
      </c>
    </row>
    <row r="65" s="73"/>
    <row r="66" ht="15.5" customHeight="1" s="73">
      <c r="A66" s="87" t="inlineStr">
        <is>
          <t>12. Data Integrity Validation Performed by IT DR Team (column M) – Review of evidence files and results</t>
        </is>
      </c>
    </row>
    <row r="67" ht="26" customHeight="1" s="73">
      <c r="A67" s="62" t="inlineStr">
        <is>
          <t>Ref</t>
        </is>
      </c>
      <c r="B67" s="62" t="inlineStr">
        <is>
          <t>Evidence file (repository location)</t>
        </is>
      </c>
      <c r="C67" s="62" t="inlineStr">
        <is>
          <t>Date / owner / operator</t>
        </is>
      </c>
      <c r="D67" s="62" t="inlineStr">
        <is>
          <t>Applications tested (source rows)</t>
        </is>
      </c>
      <c r="E67" s="62" t="inlineStr">
        <is>
          <t>Content reviewed</t>
        </is>
      </c>
      <c r="F67" s="62" t="inlineStr">
        <is>
          <t>Conclusion / samples supported</t>
        </is>
      </c>
      <c r="G67" s="62" t="inlineStr">
        <is>
          <t>Control Sample Assessment Result (Pass/Fail)</t>
        </is>
      </c>
    </row>
    <row r="68" ht="126" customHeight="1" s="73">
      <c r="A68" s="69" t="inlineStr">
        <is>
          <t>E05</t>
        </is>
      </c>
      <c r="B68" s="65" t="inlineStr">
        <is>
          <t>BSI.IT.6.C7.3-Evidences\04_Data_Integrity_and_Email_Testing_Evidence\BSI.IT.6.C7.3_E05_IT BIA Results Review and preparation for DR .msg</t>
        </is>
      </c>
      <c r="C68" s="65" t="inlineStr">
        <is>
          <t>09/15/2025 – Elizabeth Noda</t>
        </is>
      </c>
      <c r="D68" s="65" t="inlineStr">
        <is>
          <t>1822 ACH Express
1867 FedExport - BSI
1868 FedImport - BSI
3299 Imaging101
4052 Interface Monitor
3301 MQ Payment Monitor
1903 OFAC - BSI
1917 ReconXpert
1936 Swift Interface - BSI
1937 T24</t>
        </is>
      </c>
      <c r="E68" s="65"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68" s="65" t="inlineStr">
        <is>
          <t>Supports Data Integrity Validation Performed by IT DR Team (column M) – samples 1822, 1867, 1868, 3299, 4052, 3301, 1903, 1917, 1936, 1937</t>
        </is>
      </c>
      <c r="G68" s="67" t="inlineStr">
        <is>
          <t>PASS</t>
        </is>
      </c>
    </row>
    <row r="69" s="73"/>
    <row r="70" ht="15.5" customHeight="1" s="73">
      <c r="A70" s="87" t="inlineStr">
        <is>
          <t>13. Applications in Scope Identified (column N) – Review of evidence files and results</t>
        </is>
      </c>
    </row>
    <row r="71" ht="26" customHeight="1" s="73">
      <c r="A71" s="62" t="inlineStr">
        <is>
          <t>Ref</t>
        </is>
      </c>
      <c r="B71" s="62" t="inlineStr">
        <is>
          <t>Evidence file (repository location)</t>
        </is>
      </c>
      <c r="C71" s="62" t="inlineStr">
        <is>
          <t>Date / owner / operator</t>
        </is>
      </c>
      <c r="D71" s="62" t="inlineStr">
        <is>
          <t>Applications tested (source rows)</t>
        </is>
      </c>
      <c r="E71" s="62" t="inlineStr">
        <is>
          <t>Content reviewed</t>
        </is>
      </c>
      <c r="F71" s="62" t="inlineStr">
        <is>
          <t>Conclusion / samples supported</t>
        </is>
      </c>
      <c r="G71" s="62" t="inlineStr">
        <is>
          <t>Control Sample Assessment Result (Pass/Fail)</t>
        </is>
      </c>
    </row>
    <row r="72" ht="409" customHeight="1" s="73">
      <c r="A72" s="69" t="inlineStr">
        <is>
          <t>MA01</t>
        </is>
      </c>
      <c r="B72" s="65" t="inlineStr">
        <is>
          <t>BSI.IT.6.C7.3-Evidences\01_Management_Attestation_In-Scope_Applications\MA01_BSI In-Scope Applications-2026.png</t>
        </is>
      </c>
      <c r="C72" s="65" t="inlineStr">
        <is>
          <t>09/23/2026 – Cesar Vidal (BCiC walkthrough)</t>
        </is>
      </c>
      <c r="D72" s="65" t="inlineStr">
        <is>
          <t>1822 ACH Express
1867 FedExport - BSI
1868 FedImport - BSI
3299 Imaging101
4052 Interface Monitor
3301 MQ Payment Monitor
1903 OFAC - BSI
1917 ReconXpert
1936 Swift Interface - BSI
1937 T24</t>
        </is>
      </c>
      <c r="E72"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72" s="65" t="inlineStr">
        <is>
          <t>Supports Applications in Scope Identified (column N) – samples 1822, 1867, 1868, 3299, 4052, 3301, 1903, 1917, 1936, 1937</t>
        </is>
      </c>
      <c r="G72" s="67" t="inlineStr">
        <is>
          <t>PASS</t>
        </is>
      </c>
    </row>
    <row r="73" s="73"/>
    <row r="74" ht="15.5" customHeight="1" s="73">
      <c r="A74" s="87" t="inlineStr">
        <is>
          <t>14. Business Line Approval of Results (column O) – Review of evidence files and results</t>
        </is>
      </c>
    </row>
    <row r="75" ht="26" customHeight="1" s="73">
      <c r="A75" s="62" t="inlineStr">
        <is>
          <t>Ref</t>
        </is>
      </c>
      <c r="B75" s="62" t="inlineStr">
        <is>
          <t>Evidence file (repository location)</t>
        </is>
      </c>
      <c r="C75" s="62" t="inlineStr">
        <is>
          <t>Date / owner / operator</t>
        </is>
      </c>
      <c r="D75" s="62" t="inlineStr">
        <is>
          <t>Applications tested (source rows)</t>
        </is>
      </c>
      <c r="E75" s="62" t="inlineStr">
        <is>
          <t>Content reviewed</t>
        </is>
      </c>
      <c r="F75" s="62" t="inlineStr">
        <is>
          <t>Conclusion / samples supported</t>
        </is>
      </c>
      <c r="G75" s="62" t="inlineStr">
        <is>
          <t>Control Sample Assessment Result (Pass/Fail)</t>
        </is>
      </c>
    </row>
    <row r="76" ht="78" customHeight="1" s="73">
      <c r="A76" s="69" t="inlineStr">
        <is>
          <t>BLA06</t>
        </is>
      </c>
      <c r="B76" s="65" t="inlineStr">
        <is>
          <t>BSI.IT.6.C7.3-Evidences\02_Business_Line_Approval_Results_Email\BLA06_RE_ Testing enviroment - Financial Analysis Manager Approval - Sadis Alvarenga 01-26-2026.msg</t>
        </is>
      </c>
      <c r="C76" s="65" t="inlineStr">
        <is>
          <t>12/31/2025 &amp; 01/26/2026 – Sadis Alvarenga</t>
        </is>
      </c>
      <c r="D76" s="65" t="inlineStr">
        <is>
          <t>1917 ReconXpert
1937 T24</t>
        </is>
      </c>
      <c r="E76" s="65"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76" s="65" t="inlineStr">
        <is>
          <t>Supports Business Line Approval of Results (column O) – samples 1917, 1937</t>
        </is>
      </c>
      <c r="G76" s="67" t="inlineStr">
        <is>
          <t>PASS</t>
        </is>
      </c>
    </row>
    <row r="77" ht="78" customHeight="1" s="73">
      <c r="A77" s="69" t="inlineStr">
        <is>
          <t>DMA01</t>
        </is>
      </c>
      <c r="B77" s="65" t="inlineStr">
        <is>
          <t>BSI.IT.6.C7.3-Evidences\03_DIV_Manager_Attestation_Email_Approvals\DMA01_RE_ Management Attestation – DIV – Client Back Office - Claudia Romero 08-18-2026.msg</t>
        </is>
      </c>
      <c r="C77" s="65" t="inlineStr">
        <is>
          <t>08/18/2026 – Claudia Romero</t>
        </is>
      </c>
      <c r="D77" s="65" t="inlineStr">
        <is>
          <t>1822 ACH Express
1867 FedExport - BSI
1868 FedImport - BSI
3299 Imaging101
1937 T24</t>
        </is>
      </c>
      <c r="E77" s="65"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77" s="65" t="inlineStr">
        <is>
          <t>Supports Business Line Approval of Results (column O) – samples 1822, 1867, 1868, 3299, 1937</t>
        </is>
      </c>
      <c r="G77" s="67" t="inlineStr">
        <is>
          <t>PASS</t>
        </is>
      </c>
    </row>
    <row r="78" ht="136" customHeight="1" s="73">
      <c r="A78" s="69" t="inlineStr">
        <is>
          <t>DMA02</t>
        </is>
      </c>
      <c r="B78" s="65" t="inlineStr">
        <is>
          <t>BSI.IT.6.C7.3-Evidences\03_DIV_Manager_Attestation_Email_Approvals\DMA02_RE_ Management Attestation – DIV – BSA-AML-OFAC Compliance - David Marquez 08-19-2026.msg</t>
        </is>
      </c>
      <c r="C78" s="65" t="inlineStr">
        <is>
          <t>08/19/2026 – David Marquez</t>
        </is>
      </c>
      <c r="D78" s="65" t="inlineStr">
        <is>
          <t>3299 Imaging101
1903 OFAC - BSI
1936 Swift Interface - BSI
1937 T24</t>
        </is>
      </c>
      <c r="E78"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78" s="65" t="inlineStr">
        <is>
          <t>Supports Business Line Approval of Results (column O) – samples 3299, 1903, 1936, 1937</t>
        </is>
      </c>
      <c r="G78" s="67" t="inlineStr">
        <is>
          <t>PASS</t>
        </is>
      </c>
    </row>
    <row r="79" ht="78" customHeight="1" s="73">
      <c r="A79" s="69" t="inlineStr">
        <is>
          <t>DMA03</t>
        </is>
      </c>
      <c r="B79" s="65" t="inlineStr">
        <is>
          <t>BSI.IT.6.C7.3-Evidences\03_DIV_Manager_Attestation_Email_Approvals\DMA03_RE_ Management Attestation – DIV – Payments &amp; Cash Management - Frank Puentes 08-18-2026.msg</t>
        </is>
      </c>
      <c r="C79" s="65" t="inlineStr">
        <is>
          <t>08/18/2026 – Frank Puentes</t>
        </is>
      </c>
      <c r="D79" s="65" t="inlineStr">
        <is>
          <t>3301 MQ Payment Monitor
1903 OFAC - BSI
1937 T24</t>
        </is>
      </c>
      <c r="E79" s="65" t="inlineStr">
        <is>
          <t>Frank Puentes returns the signed attestation – attachment: 4069_001.pdf (scan, signed Executive Director, Payments &amp; Cash Management, 8/18/2026).
Checked for Business Line Approval of Results:
• Application / record agreed to the evidence.</t>
        </is>
      </c>
      <c r="F79" s="65" t="inlineStr">
        <is>
          <t>Supports Business Line Approval of Results (column O) – samples 3301, 1903, 1937</t>
        </is>
      </c>
      <c r="G79" s="67" t="inlineStr">
        <is>
          <t>PASS</t>
        </is>
      </c>
    </row>
    <row r="80" ht="88" customHeight="1" s="73">
      <c r="A80" s="69" t="inlineStr">
        <is>
          <t>DMA04</t>
        </is>
      </c>
      <c r="B80" s="65" t="inlineStr">
        <is>
          <t>BSI.IT.6.C7.3-Evidences\03_DIV_Manager_Attestation_Email_Approvals\DMA04_RE_ Management Attestation – DIV – Investment Operations - Michelle Oropesa 08-17-2026.msg</t>
        </is>
      </c>
      <c r="C80" s="65" t="inlineStr">
        <is>
          <t>08/17/2026 – Michelle Oropesa</t>
        </is>
      </c>
      <c r="D80" s="65" t="inlineStr">
        <is>
          <t>4052 Interface Monitor
1936 Swift Interface - BSI
1937 T24</t>
        </is>
      </c>
      <c r="E80" s="65"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80" s="65" t="inlineStr">
        <is>
          <t>Supports Business Line Approval of Results (column O) – samples 4052, 1936, 1937</t>
        </is>
      </c>
      <c r="G80" s="67" t="inlineStr">
        <is>
          <t>PASS</t>
        </is>
      </c>
    </row>
    <row r="81" s="73"/>
    <row r="82" ht="15.5" customHeight="1" s="73">
      <c r="A82" s="87" t="inlineStr">
        <is>
          <t>Business Line Approval Results – Email (folder 02) – Review of results documents and approval email</t>
        </is>
      </c>
    </row>
    <row r="83" ht="26" customHeight="1" s="73">
      <c r="A83" s="62" t="inlineStr">
        <is>
          <t>Ref</t>
        </is>
      </c>
      <c r="B83" s="62" t="inlineStr">
        <is>
          <t>Evidence file (repository location)</t>
        </is>
      </c>
      <c r="C83" s="62" t="inlineStr">
        <is>
          <t>Business line / date / operator</t>
        </is>
      </c>
      <c r="D83" s="62" t="inlineStr">
        <is>
          <t>DIV applications in scope (per document)</t>
        </is>
      </c>
      <c r="E83" s="62" t="inlineStr">
        <is>
          <t>Content reviewed</t>
        </is>
      </c>
      <c r="F83" s="62" t="inlineStr">
        <is>
          <t>Conclusion / samples supported</t>
        </is>
      </c>
      <c r="G83" s="62" t="inlineStr">
        <is>
          <t>Control Sample Assessment Result (Pass/Fail)</t>
        </is>
      </c>
    </row>
    <row r="84" ht="64" customHeight="1" s="73">
      <c r="A84" s="65" t="inlineStr">
        <is>
          <t>BLA01</t>
        </is>
      </c>
      <c r="B84" s="65" t="inlineStr">
        <is>
          <t>BSI.IT.6.C7.3-Evidences\02_Business_Line_Approval_Results_Email\BLA01_Client Back Office - FED Inclearing ACH &amp; Cash Letter - DIV Test Results 11-15-2025.pdf</t>
        </is>
      </c>
      <c r="C84" s="65" t="inlineStr">
        <is>
          <t>11/15/2025 – Client Back Office (operator Raimy Ayala)</t>
        </is>
      </c>
      <c r="D84" s="65" t="inlineStr">
        <is>
          <t>FedImport, FedExport, Imaging101, T24 (ACH Express import step evidenced p.5)</t>
        </is>
      </c>
      <c r="E84" s="65" t="inlineStr">
        <is>
          <t>DR test script with Data Integrity Validation section. Application in-scope: FedImport, FedExport, Imaging101, T24. Format / Headers / Content = Y – "No data discrepancy found". Steps include ACH Express import and Imaging101 validation screenshots (14 pages).</t>
        </is>
      </c>
      <c r="F84" s="65" t="inlineStr">
        <is>
          <t>Business line DIV results document supports Business Data Validation, DIV procedures and Business Line Approval of Results – samples 1822, 1867, 1868, 3299, 1937</t>
        </is>
      </c>
      <c r="G84" s="67" t="inlineStr">
        <is>
          <t>PASS</t>
        </is>
      </c>
    </row>
    <row r="85" ht="64" customHeight="1" s="73">
      <c r="A85" s="65" t="inlineStr">
        <is>
          <t>BLA02</t>
        </is>
      </c>
      <c r="B85" s="65" t="inlineStr">
        <is>
          <t>BSI.IT.6.C7.3-Evidences\02_Business_Line_Approval_Results_Email\BLA02_BSA_AML_OFAC Compliance - OFAC Verifier - DIV Test Results 11-15-2025.pdf</t>
        </is>
      </c>
      <c r="C85" s="65" t="inlineStr">
        <is>
          <t>11/15/2025 – BSA/AML/OFAC Compliance (operator David Marquez)</t>
        </is>
      </c>
      <c r="D85" s="65" t="inlineStr">
        <is>
          <t>T24, Imaging101, OFAC</t>
        </is>
      </c>
      <c r="E85" s="65" t="inlineStr">
        <is>
          <t>OFAC Verifier test script. Application in-scope: T24, Imaging101, OFAC. DIV procedure instructions listed; production-day (11/14/2025) vs test-day (11/15/2025) screenshots for T24, Imaging101/ModeloIC and OFAC Report 64. NOTE: DIV Yes/No answer boxes on p.1 are blank.</t>
        </is>
      </c>
      <c r="F85" s="65" t="inlineStr">
        <is>
          <t>Business line DIV results document supports Business Data Validation, DIV procedures and Business Line Approval of Results – samples 3299, 1903, 1937</t>
        </is>
      </c>
      <c r="G85" s="67" t="inlineStr">
        <is>
          <t>PASS</t>
        </is>
      </c>
    </row>
    <row r="86" ht="52" customHeight="1" s="73">
      <c r="A86" s="65" t="inlineStr">
        <is>
          <t>BLA03</t>
        </is>
      </c>
      <c r="B86" s="65" t="inlineStr">
        <is>
          <t>BSI.IT.6.C7.3-Evidences\02_Business_Line_Approval_Results_Email\BLA03_Payments &amp; Cash Management - Payments Script - DIV Test Results 11-15-2025.pdf</t>
        </is>
      </c>
      <c r="C86" s="65" t="inlineStr">
        <is>
          <t>11/15/2025 – Payments &amp; Position Management (operators Frank Puentes / Gustavo Bucaro)</t>
        </is>
      </c>
      <c r="D86" s="65" t="inlineStr">
        <is>
          <t>T24, MQ Payment Monitor, OFAC – BSI, Fedlink – BSI, Swift Interface – BSI</t>
        </is>
      </c>
      <c r="E86" s="65" t="inlineStr">
        <is>
          <t>Wire Transfer / Cash Mgt / Financial Messaging script. DIV application in-scope: T24, MQ Payment Monitor, OFAC – BSI, Fedlink – BSI, Swift Interface – BSI. Format / Headers / Content = yes; data from 11/14/2025 Fed &amp; SWIFT reconciled.</t>
        </is>
      </c>
      <c r="F86" s="65" t="inlineStr">
        <is>
          <t>Business line DIV results document supports Business Data Validation, DIV procedures and Business Line Approval of Results – samples 3301, 1903, 1936, 1937</t>
        </is>
      </c>
      <c r="G86" s="67" t="inlineStr">
        <is>
          <t>PASS</t>
        </is>
      </c>
    </row>
    <row r="87" ht="64" customHeight="1" s="73">
      <c r="A87" s="65" t="inlineStr">
        <is>
          <t>BLA04</t>
        </is>
      </c>
      <c r="B87" s="65" t="inlineStr">
        <is>
          <t>BSI.IT.6.C7.3-Evidences\02_Business_Line_Approval_Results_Email\BLA04_Investment Operations - Treasury Hub &amp; Derivatives Operations - DIV Test Results 11-15-2025.docx</t>
        </is>
      </c>
      <c r="C87" s="65" t="inlineStr">
        <is>
          <t>11/15/2025 – Investment Operations (operator Michelle Oropesa)</t>
        </is>
      </c>
      <c r="D87" s="65" t="inlineStr">
        <is>
          <t>T24 &amp; Swift Interface – BSI (Swift Interface Monitor accessed)</t>
        </is>
      </c>
      <c r="E87" s="65" t="inlineStr">
        <is>
          <t>Treasury Hub &amp; Derivatives Operations script. Systems accessed: Swift Interface Monitor – BSI, T24, MS Office, DTCC. DIV application in-scope: T24 &amp; Swift Interface – BSI. Incoming MT300 and FX S reports matched 11/14 vs 11/15; Format / Headers / Content = Yes.</t>
        </is>
      </c>
      <c r="F87" s="65" t="inlineStr">
        <is>
          <t>Business line DIV results document supports Business Data Validation, DIV procedures and Business Line Approval of Results – samples 4052, 1936, 1937</t>
        </is>
      </c>
      <c r="G87" s="67" t="inlineStr">
        <is>
          <t>PASS</t>
        </is>
      </c>
    </row>
    <row r="88" ht="46" customHeight="1" s="73">
      <c r="A88" s="65" t="inlineStr">
        <is>
          <t>BLA05</t>
        </is>
      </c>
      <c r="B88" s="65" t="inlineStr">
        <is>
          <t>BSI.IT.6.C7.3-Evidences\02_Business_Line_Approval_Results_Email\BLA05_Financial Analysis and Control - GL ReconXpert - DIV Test Results 11-15-2025.pdf</t>
        </is>
      </c>
      <c r="C88" s="65" t="inlineStr">
        <is>
          <t>11/15/2025 – Finance &amp; Accounting Reporting (operator Dunia Gonzalez Collado)</t>
        </is>
      </c>
      <c r="D88" s="65" t="inlineStr">
        <is>
          <t>T24 &amp; ReconXpert</t>
        </is>
      </c>
      <c r="E88" s="65" t="inlineStr">
        <is>
          <t>General ledger review script. DIV application in-scope: T24 &amp; ReconXpert. Reconciliations passed; Format / Headers / Content = Yes, "No discrepancies found on the report".</t>
        </is>
      </c>
      <c r="F88" s="65" t="inlineStr">
        <is>
          <t>Business line DIV results document supports Business Data Validation, DIV procedures and Business Line Approval of Results – samples 1917, 1937</t>
        </is>
      </c>
      <c r="G88" s="67" t="inlineStr">
        <is>
          <t>PASS</t>
        </is>
      </c>
    </row>
    <row r="89" ht="46" customHeight="1" s="73">
      <c r="A89" s="65" t="inlineStr">
        <is>
          <t>BLA06</t>
        </is>
      </c>
      <c r="B89" s="65" t="inlineStr">
        <is>
          <t>BSI.IT.6.C7.3-Evidences\02_Business_Line_Approval_Results_Email\BLA06_RE_ Testing enviroment - Financial Analysis Manager Approval - Sadis Alvarenga 01-26-2026.msg</t>
        </is>
      </c>
      <c r="C89" s="65" t="inlineStr">
        <is>
          <t>12/31/2025 &amp; 01/26/2026 – Sadis Alvarenga</t>
        </is>
      </c>
      <c r="D89" s="65" t="inlineStr">
        <is>
          <t>Financial Analysis &amp; Control (T24, ReconXpert)</t>
        </is>
      </c>
      <c r="E89" s="65" t="inlineStr">
        <is>
          <t>Sadis Alvarenga (Financial Analysis &amp; Control manager) replies "Approved." on 12/31/2025 and again on 01/26/2026 to Elizabeth Noda's request to approve the submitted test script.</t>
        </is>
      </c>
      <c r="F89" s="65" t="inlineStr">
        <is>
          <t>Business line manager approval (Sadis Alvarenga) – in period (01/26/2026) – samples 1917, 1937</t>
        </is>
      </c>
      <c r="G89" s="67" t="inlineStr">
        <is>
          <t>PASS</t>
        </is>
      </c>
    </row>
    <row r="90" s="73"/>
    <row r="91" ht="15.5" customHeight="1" s="73">
      <c r="A91" s="87" t="inlineStr">
        <is>
          <t>DIV Manager Attestation Email Approvals (folder 03) – application-specific business line manager approvals</t>
        </is>
      </c>
    </row>
    <row r="92" ht="26" customHeight="1" s="73">
      <c r="A92" s="62" t="inlineStr">
        <is>
          <t>Ref</t>
        </is>
      </c>
      <c r="B92" s="62" t="inlineStr">
        <is>
          <t>Evidence file (repository location)</t>
        </is>
      </c>
      <c r="C92" s="62" t="inlineStr">
        <is>
          <t>Approver / date</t>
        </is>
      </c>
      <c r="D92" s="62" t="inlineStr">
        <is>
          <t>BCiC Department Manager → tested applications (E03 rows)</t>
        </is>
      </c>
      <c r="E92" s="62" t="inlineStr">
        <is>
          <t>Content reviewed</t>
        </is>
      </c>
      <c r="F92" s="62" t="inlineStr">
        <is>
          <t>Conclusion / samples supported</t>
        </is>
      </c>
      <c r="G92" s="62" t="inlineStr">
        <is>
          <t>Control Sample Assessment Result (Pass/Fail)</t>
        </is>
      </c>
    </row>
    <row r="93" ht="46" customHeight="1" s="73">
      <c r="A93" s="65" t="inlineStr">
        <is>
          <t>DMA01</t>
        </is>
      </c>
      <c r="B93" s="65" t="inlineStr">
        <is>
          <t>BSI.IT.6.C7.3-Evidences\03_DIV_Manager_Attestation_Email_Approvals\DMA01_RE_ Management Attestation – DIV – Client Back Office - Claudia Romero 08-18-2026.msg</t>
        </is>
      </c>
      <c r="C93" s="65" t="inlineStr">
        <is>
          <t>08/18/2026 – Claudia Romero</t>
        </is>
      </c>
      <c r="D93" s="65" t="inlineStr">
        <is>
          <t>FedExport - BSI (row 9); FedImport - BSI (row 10); Imaging101 (rows 11, 13); T24 (rows 12, 14, 48); ACH Express (row 47)</t>
        </is>
      </c>
      <c r="E93" s="65" t="inlineStr">
        <is>
          <t>Claudia Romero (Client Back Office Manager VP) returns the signed Management Attestation – attachment: Data_Integrity_Attestation_Santander-BCiC (002).pdf (signed Claudia Romero).</t>
        </is>
      </c>
      <c r="F93" s="65" t="inlineStr">
        <is>
          <t>Approval evidence for 8 DIV record(s) – in-period approval evidence – samples 1822, 1867, 1868, 3299, 1937</t>
        </is>
      </c>
      <c r="G93" s="67" t="inlineStr">
        <is>
          <t>PASS</t>
        </is>
      </c>
    </row>
    <row r="94" ht="100" customHeight="1" s="73">
      <c r="A94" s="65" t="inlineStr">
        <is>
          <t>DMA02</t>
        </is>
      </c>
      <c r="B94" s="65" t="inlineStr">
        <is>
          <t>BSI.IT.6.C7.3-Evidences\03_DIV_Manager_Attestation_Email_Approvals\DMA02_RE_ Management Attestation – DIV – BSA-AML-OFAC Compliance - David Marquez 08-19-2026.msg</t>
        </is>
      </c>
      <c r="C94" s="65" t="inlineStr">
        <is>
          <t>08/19/2026 – David Marquez</t>
        </is>
      </c>
      <c r="D94" s="65" t="inlineStr">
        <is>
          <t>Imaging101 (row 5); OFAC - BSI (row 6); Swift Interface - BSI (row 7); T24 (row 8)</t>
        </is>
      </c>
      <c r="E9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94" s="65" t="inlineStr">
        <is>
          <t>Approval evidence for 4 DIV record(s) – approval evidence dated after 06/01/2026 (BCiC approval 11/15/2025) – samples 1822, 1867, 1868, 3299, 4052, 3301, 1903, 1917, 1936, 1937</t>
        </is>
      </c>
      <c r="G94" s="67" t="inlineStr">
        <is>
          <t>PASS</t>
        </is>
      </c>
    </row>
    <row r="95" ht="46" customHeight="1" s="73">
      <c r="A95" s="65" t="inlineStr">
        <is>
          <t>DMA03</t>
        </is>
      </c>
      <c r="B95" s="65" t="inlineStr">
        <is>
          <t>BSI.IT.6.C7.3-Evidences\03_DIV_Manager_Attestation_Email_Approvals\DMA03_RE_ Management Attestation – DIV – Payments &amp; Cash Management - Frank Puentes 08-18-2026.msg</t>
        </is>
      </c>
      <c r="C95" s="65" t="inlineStr">
        <is>
          <t>08/18/2026 – Frank Puentes</t>
        </is>
      </c>
      <c r="D95" s="65" t="inlineStr">
        <is>
          <t>T24 (rows 23, 27, 31, 33); MQ Payment Monitor (rows 25, 29); OFAC - BSI (rows 26, 30, 34)</t>
        </is>
      </c>
      <c r="E95" s="65" t="inlineStr">
        <is>
          <t>Frank Puentes returns the signed attestation – attachment: 4069_001.pdf (scan, signed Executive Director, Payments &amp; Cash Management, 8/18/2026).</t>
        </is>
      </c>
      <c r="F95" s="65" t="inlineStr">
        <is>
          <t>Approval evidence for 9 DIV record(s) – approval evidence dated after 06/01/2026 (BCiC approval 12/18/2025) – samples 3301, 1903, 1937</t>
        </is>
      </c>
      <c r="G95" s="67" t="inlineStr">
        <is>
          <t>PASS</t>
        </is>
      </c>
    </row>
    <row r="96" ht="52" customHeight="1" s="73">
      <c r="A96" s="65" t="inlineStr">
        <is>
          <t>DMA04</t>
        </is>
      </c>
      <c r="B96" s="65" t="inlineStr">
        <is>
          <t>BSI.IT.6.C7.3-Evidences\03_DIV_Manager_Attestation_Email_Approvals\DMA04_RE_ Management Attestation – DIV – Investment Operations - Michelle Oropesa 08-17-2026.msg</t>
        </is>
      </c>
      <c r="C96" s="65" t="inlineStr">
        <is>
          <t>08/17/2026 – Michelle Oropesa</t>
        </is>
      </c>
      <c r="D96" s="65" t="inlineStr">
        <is>
          <t>T24 (rows 19, 20, 21); Swift Interface - BSI (row 60); Interface Monitor (row 61)</t>
        </is>
      </c>
      <c r="E96" s="65" t="inlineStr">
        <is>
          <t>Michelle Oropesa (Investment Operations Director) returns the signed attestation – attachment: Data_Integrity_Attestation_Santander-BCiC.pdf (signed Investment Operations Director, VP, 8/17/2026).</t>
        </is>
      </c>
      <c r="F96" s="65" t="inlineStr">
        <is>
          <t>Approval evidence for 5 DIV record(s) – approval evidence dated after 06/01/2026 (BCiC approval 08/17/2026) – samples 4052, 1936, 1937</t>
        </is>
      </c>
      <c r="G96" s="67" t="inlineStr">
        <is>
          <t>PASS</t>
        </is>
      </c>
    </row>
    <row r="97" ht="52" customHeight="1" s="73">
      <c r="A97" s="65" t="inlineStr">
        <is>
          <t>DMA05</t>
        </is>
      </c>
      <c r="B97" s="65" t="inlineStr">
        <is>
          <t>BSI.IT.6.C7.3-Evidences\03_DIV_Manager_Attestation_Email_Approvals\DMA05_RE_ Management Attestation – DIV – Operations (Governance &amp; Static Data, Multi-Family Office) - Maria Teresa Del Cerro 08-19-2026.msg</t>
        </is>
      </c>
      <c r="C97" s="65" t="inlineStr">
        <is>
          <t>08/19/2026 – Maria Teresa (Mayte) Del Cerro</t>
        </is>
      </c>
      <c r="D97" s="65" t="inlineStr">
        <is>
          <t>T24 (rows 18, 54, 59); Imaging101 (rows 53, 57); OFAC - BSI (row 58)</t>
        </is>
      </c>
      <c r="E97" s="65" t="inlineStr">
        <is>
          <t>Senior Director of Operations returns the signed attestation – attachments: Data_Integrity_Attestation_Santander-BCiC.pdf (signed Maria Teresa Del Cerro Hontanilla, Director of Operations, 08/19/2026) and the BCiC export (same file as E16b).</t>
        </is>
      </c>
      <c r="F97" s="65" t="inlineStr">
        <is>
          <t>Approval evidence for 6 DIV record(s) – approval evidence dated after 06/01/2026 (BCiC approval 08/19/2026) – samples 3299, 1903, 1937</t>
        </is>
      </c>
      <c r="G97" s="67" t="inlineStr">
        <is>
          <t>PASS</t>
        </is>
      </c>
    </row>
    <row r="98" ht="52" customHeight="1" s="73">
      <c r="A98" s="65" t="inlineStr">
        <is>
          <t>DMA06</t>
        </is>
      </c>
      <c r="B98" s="65" t="inlineStr">
        <is>
          <t>BSI.IT.6.C7.3-Evidences\03_DIV_Manager_Attestation_Email_Approvals\DMA06_RE_ Management Attestation – DIV – Trading &amp; Capital Markets (AIS, Portfolio Advisory, P&amp;I Tech) - Ricardo Garcia-Marques 08-18-2026.msg</t>
        </is>
      </c>
      <c r="C98" s="65" t="inlineStr">
        <is>
          <t>08/18/2026 – Ricardo Garcia-Marques</t>
        </is>
      </c>
      <c r="D98" s="65" t="inlineStr">
        <is>
          <t>T24 (rows 3, 35, 36, 37, 38, 39, 40, 63)</t>
        </is>
      </c>
      <c r="E98" s="65" t="inlineStr">
        <is>
          <t>Attestation and approval from Trading &amp; Capital Markets (covers BCiC records approved by Ricardo Garcia) – attachment: Data_Integrity_Attestation_Santander-BCiC_signed.pdf (e-signed MD, Head of Trading &amp; Capital Markets, 08/18/2026 11:45 AM EDT).</t>
        </is>
      </c>
      <c r="F98" s="65" t="inlineStr">
        <is>
          <t>Approval evidence for 8 DIV record(s) – approval evidence dated after 06/01/2026 (BCiC approval 08/18/2026) – samples 1937</t>
        </is>
      </c>
      <c r="G98" s="67" t="inlineStr">
        <is>
          <t>PASS</t>
        </is>
      </c>
    </row>
    <row r="99" ht="46" customHeight="1" s="73">
      <c r="A99" s="65" t="inlineStr">
        <is>
          <t>DMA07</t>
        </is>
      </c>
      <c r="B99" s="65" t="inlineStr">
        <is>
          <t>BSI.IT.6.C7.3-Evidences\03_DIV_Manager_Attestation_Email_Approvals\DMA07_RE_ Management Attestation – DIV – Treasury &amp; Capital Planning - Martha Sullivan 08-18-2026.msg</t>
        </is>
      </c>
      <c r="C99" s="65" t="inlineStr">
        <is>
          <t>08/18/2026 – Martha Sullivan</t>
        </is>
      </c>
      <c r="D99" s="65" t="inlineStr">
        <is>
          <t>T24 (rows 41, 42, 43, 44, 45, 46)</t>
        </is>
      </c>
      <c r="E99" s="65" t="inlineStr">
        <is>
          <t>Martha Sullivan returns the signed attestation – attachment: Data_Integrity_Attestation_Santander-BCiC.pdf (signed Balance Sheet Manager, Treasury).</t>
        </is>
      </c>
      <c r="F99" s="65" t="inlineStr">
        <is>
          <t>Approval evidence for 6 DIV record(s) – approval evidence dated after 06/01/2026 (BCiC approval 08/18/2026) – samples 1937</t>
        </is>
      </c>
      <c r="G99" s="67" t="inlineStr">
        <is>
          <t>PASS</t>
        </is>
      </c>
    </row>
    <row r="100" ht="46" customHeight="1" s="73">
      <c r="A100" s="65" t="inlineStr">
        <is>
          <t>DMA08</t>
        </is>
      </c>
      <c r="B100" s="65" t="inlineStr">
        <is>
          <t>BSI.IT.6.C7.3-Evidences\03_DIV_Manager_Attestation_Email_Approvals\DMA08_RE_ Management Attestation – DIV – Solvency &amp; Market Risk (Financial Risk) - Ivan Caisapanta 08-18-2026.msg</t>
        </is>
      </c>
      <c r="C100" s="65" t="inlineStr">
        <is>
          <t>08/18/2026 – Ivan Caisapanta</t>
        </is>
      </c>
      <c r="D100" s="65" t="inlineStr">
        <is>
          <t>T24 (rows 55, 56)</t>
        </is>
      </c>
      <c r="E100" s="65" t="inlineStr">
        <is>
          <t>"Hi Elizabeth, You have my approval" – Financial Risk (BCiC Department Manager recorded as Xavier Caisapanta).</t>
        </is>
      </c>
      <c r="F100" s="65" t="inlineStr">
        <is>
          <t>Approval evidence for 2 DIV record(s) – approval evidence dated after 06/01/2026 (BCiC approval 08/18/2026) – samples 1937</t>
        </is>
      </c>
      <c r="G100" s="67" t="inlineStr">
        <is>
          <t>PASS</t>
        </is>
      </c>
    </row>
    <row r="101" ht="46" customHeight="1" s="73">
      <c r="A101" s="65" t="inlineStr">
        <is>
          <t>DMA09</t>
        </is>
      </c>
      <c r="B101" s="65" t="inlineStr">
        <is>
          <t>BSI.IT.6.C7.3-Evidences\03_DIV_Manager_Attestation_Email_Approvals\DMA09_RE_ Management Attestation – DIV – General Services (Marketing &amp; General Services) - Clara De Castro 08-18-2026.msg</t>
        </is>
      </c>
      <c r="C101" s="65" t="inlineStr">
        <is>
          <t>08/18/2026 – Clara G. De Castro</t>
        </is>
      </c>
      <c r="D101" s="65" t="inlineStr">
        <is>
          <t>T24 (row 62)</t>
        </is>
      </c>
      <c r="E101" s="65" t="inlineStr">
        <is>
          <t>Clara De Castro (Director, General Services &amp; Facilities) returns the signed attestation – attachment: Data_Integrity_Attestation_Santander-BCiC.pdf (signed Clara G. De Castro).</t>
        </is>
      </c>
      <c r="F101" s="65" t="inlineStr">
        <is>
          <t>Approval evidence for 1 DIV record(s) – approval evidence dated after 06/01/2026 (BCiC approval 08/18/2026) – samples 1937</t>
        </is>
      </c>
      <c r="G101" s="67" t="inlineStr">
        <is>
          <t>PASS</t>
        </is>
      </c>
    </row>
    <row r="102" ht="46" customHeight="1" s="73">
      <c r="A102" s="65" t="inlineStr">
        <is>
          <t>DMA10</t>
        </is>
      </c>
      <c r="B102" s="65" t="inlineStr">
        <is>
          <t>BSI.IT.6.C7.3-Evidences\03_DIV_Manager_Attestation_Email_Approvals\DMA10_RE_ Management Attestation – DIV – Digital Wealth - Victoria Fernandez 08-21-2026.eml</t>
        </is>
      </c>
      <c r="C102" s="65" t="inlineStr">
        <is>
          <t>08/21/2026 – Victoria Fernandez</t>
        </is>
      </c>
      <c r="D102" s="65" t="inlineStr">
        <is>
          <t>T24 (row 52)</t>
        </is>
      </c>
      <c r="E102" s="65" t="inlineStr">
        <is>
          <t>"Approved" – Digital Wealth.</t>
        </is>
      </c>
      <c r="F102" s="65" t="inlineStr">
        <is>
          <t>Approval evidence for 1 DIV record(s) – approval evidence dated after 06/01/2026 (BCiC approval 08/21/2026) – samples 1937</t>
        </is>
      </c>
      <c r="G102" s="67" t="inlineStr">
        <is>
          <t>PASS</t>
        </is>
      </c>
    </row>
    <row r="103" ht="46" customHeight="1" s="73">
      <c r="A103" s="65" t="inlineStr">
        <is>
          <t>DMA11</t>
        </is>
      </c>
      <c r="B103" s="65" t="inlineStr">
        <is>
          <t>BSI.IT.6.C7.3-Evidences\03_DIV_Manager_Attestation_Email_Approvals\DMA11_RE_ Management Attestation – DIV – Commercial Middle Office - Miguel Orozco 09-09-2026.eml</t>
        </is>
      </c>
      <c r="C103" s="65" t="inlineStr">
        <is>
          <t>09/09/2026 – Miguel Orozco</t>
        </is>
      </c>
      <c r="D103" s="65" t="inlineStr">
        <is>
          <t>T24 (rows 15, 50); Imaging101 (row 51)</t>
        </is>
      </c>
      <c r="E103" s="65" t="inlineStr">
        <is>
          <t>"I approve the integrity validation for the testing performed by the Commercial Middle Office."</t>
        </is>
      </c>
      <c r="F103" s="65" t="inlineStr">
        <is>
          <t>Approval evidence for 3 DIV record(s) – approval evidence dated after 06/01/2026 (BCiC approval 09/09/2026) – samples 3299, 1937</t>
        </is>
      </c>
      <c r="G103" s="67" t="inlineStr">
        <is>
          <t>PASS</t>
        </is>
      </c>
    </row>
    <row r="104" ht="46" customHeight="1" s="73">
      <c r="A104" s="65" t="inlineStr">
        <is>
          <t>DMA12</t>
        </is>
      </c>
      <c r="B104" s="65" t="inlineStr">
        <is>
          <t>BSI.IT.6.C7.3-Evidences\03_DIV_Manager_Attestation_Email_Approvals\DMA12_RE_ Management Attestation – DIV – Client Servicing Unit - Liliana Vizhnay 09-09-2026.eml</t>
        </is>
      </c>
      <c r="C104" s="65" t="inlineStr">
        <is>
          <t>09/09/2026 – Liliana Vizhnay</t>
        </is>
      </c>
      <c r="D104" s="65" t="inlineStr">
        <is>
          <t>T24 (row 49)</t>
        </is>
      </c>
      <c r="E104" s="65" t="inlineStr">
        <is>
          <t>"I approve." – Client Servicing Unit.</t>
        </is>
      </c>
      <c r="F104" s="65" t="inlineStr">
        <is>
          <t>Approval evidence for 1 DIV record(s) – approval evidence dated after 06/01/2026 (BCiC approval 09/09/2026) – samples 1937</t>
        </is>
      </c>
      <c r="G104" s="67" t="inlineStr">
        <is>
          <t>PASS</t>
        </is>
      </c>
    </row>
    <row r="105" ht="46" customHeight="1" s="73">
      <c r="A105" s="65" t="inlineStr">
        <is>
          <t>DMA13</t>
        </is>
      </c>
      <c r="B105" s="65" t="inlineStr">
        <is>
          <t>BSI.IT.6.C7.3-Evidences\03_DIV_Manager_Attestation_Email_Approvals\DMA13_RE_ Management Attestation – DIV – IT Unified Communication - Cisco Call Manager - Elizabeth Noda 09-09-2026 (out of scope).eml</t>
        </is>
      </c>
      <c r="C105" s="65" t="inlineStr">
        <is>
          <t>09/09/2026 – Elizabeth Noda</t>
        </is>
      </c>
      <c r="D105" s="65" t="inlineStr">
        <is>
          <t>Cisco Call Manager – not one of the 10 tested applications</t>
        </is>
      </c>
      <c r="E105" s="65" t="inlineStr">
        <is>
          <t>"approve" – Cisco Call Manager (IT). Cisco Call Manager is NOT one of the 10 tested applications – retained for completeness only.</t>
        </is>
      </c>
      <c r="F105" s="65" t="inlineStr">
        <is>
          <t>Out of scope – retained for completeness – samples —</t>
        </is>
      </c>
      <c r="G105" s="68" t="inlineStr">
        <is>
          <t>N/A – supplemental, not relied on</t>
        </is>
      </c>
    </row>
    <row r="106" s="73"/>
    <row r="107" ht="15.5" customHeight="1" s="73">
      <c r="A107" s="87" t="inlineStr">
        <is>
          <t>Management Attestation / In-Scope Applications (folder 01) and Data Integrity &amp; Email Testing Evidence (folder 04) – Review</t>
        </is>
      </c>
    </row>
    <row r="108" ht="26" customHeight="1" s="73">
      <c r="A108" s="62" t="inlineStr">
        <is>
          <t>Ref</t>
        </is>
      </c>
      <c r="B108" s="62" t="inlineStr">
        <is>
          <t>Evidence file (repository location)</t>
        </is>
      </c>
      <c r="C108" s="62" t="inlineStr">
        <is>
          <t>Date / owner</t>
        </is>
      </c>
      <c r="D108" s="62" t="inlineStr">
        <is>
          <t>Type</t>
        </is>
      </c>
      <c r="E108" s="62" t="inlineStr">
        <is>
          <t>Content reviewed</t>
        </is>
      </c>
      <c r="F108" s="62" t="inlineStr">
        <is>
          <t>Samples / workpaper columns supported</t>
        </is>
      </c>
      <c r="G108" s="62" t="inlineStr">
        <is>
          <t>Control Sample Assessment Result (Pass/Fail)</t>
        </is>
      </c>
    </row>
    <row r="109" ht="76" customHeight="1" s="73">
      <c r="A109" s="65" t="inlineStr">
        <is>
          <t>MA01</t>
        </is>
      </c>
      <c r="B109" s="65" t="inlineStr">
        <is>
          <t>BSI.IT.6.C7.3-Evidences\01_Management_Attestation_In-Scope_Applications\MA01_BSI In-Scope Applications-2026.png</t>
        </is>
      </c>
      <c r="C109" s="65" t="inlineStr">
        <is>
          <t>09/23/2026 – Cesar Vidal (BCiC walkthrough)</t>
        </is>
      </c>
      <c r="D109" s="65" t="inlineStr">
        <is>
          <t>BCiC screenshot</t>
        </is>
      </c>
      <c r="E109"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109" s="65" t="inlineStr">
        <is>
          <t>Samples: 1822, 1867, 1868, 3299, 4052, 3301, 1903, 1917, 1936, 1937; columns: D, K, N</t>
        </is>
      </c>
      <c r="G109" s="67" t="inlineStr">
        <is>
          <t>PASS</t>
        </is>
      </c>
    </row>
    <row r="110" ht="46" customHeight="1" s="73">
      <c r="A110" s="65" t="inlineStr">
        <is>
          <t>E01</t>
        </is>
      </c>
      <c r="B110" s="65" t="inlineStr">
        <is>
          <t>BSI.IT.6.C7.3-Evidences\04_Data_Integrity_and_Email_Testing_Evidence\BSI.IT.6.C7.3_E01_Applications In Scope for DR Test BSI (13).xlsx</t>
        </is>
      </c>
      <c r="C110" s="65" t="inlineStr">
        <is>
          <t>BCiC – Applications In Scope for DR Test BSI</t>
        </is>
      </c>
      <c r="D110" s="65" t="inlineStr">
        <is>
          <t>BCiC export</t>
        </is>
      </c>
      <c r="E110" s="65" t="inlineStr">
        <is>
          <t>BCiC export of the BSI DR-scope population (43 applications) with Exercise Date and 2025 DR / Backup-Restore / DIV scope flags.</t>
        </is>
      </c>
      <c r="F110" s="65" t="inlineStr">
        <is>
          <t>Samples: 1822, 1867, 1868, 3299, 4052, 3301, 1903, 1917, 1936, 1937; columns: B, C, D, K, L, N</t>
        </is>
      </c>
      <c r="G110" s="67" t="inlineStr">
        <is>
          <t>PASS</t>
        </is>
      </c>
    </row>
    <row r="111" ht="46" customHeight="1" s="73">
      <c r="A111" s="65" t="inlineStr">
        <is>
          <t>E02</t>
        </is>
      </c>
      <c r="B111" s="65" t="inlineStr">
        <is>
          <t>BSI.IT.6.C7.3-Evidences\04_Data_Integrity_and_Email_Testing_Evidence\BSI.IT.6.C7.3_E02_screenshot BCiC apps in scope for DR Testing.jpg</t>
        </is>
      </c>
      <c r="C111" s="65" t="inlineStr">
        <is>
          <t>09/10/2026 – Cesar Vidal</t>
        </is>
      </c>
      <c r="D111" s="65" t="inlineStr">
        <is>
          <t>BCiC screenshot</t>
        </is>
      </c>
      <c r="E111" s="65" t="inlineStr">
        <is>
          <t>BCiC Applications screen with view 'Applications In Scope for DR Test BSI' selected (1–20 of 43 items).</t>
        </is>
      </c>
      <c r="F111" s="65" t="inlineStr">
        <is>
          <t>Samples: 1822, 1867, 1868, 3299, 4052, 3301, 1903, 1917, 1936, 1937; columns: D, K, N</t>
        </is>
      </c>
      <c r="G111" s="67" t="inlineStr">
        <is>
          <t>PASS</t>
        </is>
      </c>
    </row>
    <row r="112" ht="52" customHeight="1" s="73">
      <c r="A112" s="65" t="inlineStr">
        <is>
          <t>E03</t>
        </is>
      </c>
      <c r="B112" s="65" t="inlineStr">
        <is>
          <t>BSI.IT.6.C7.3-Evidences\04_Data_Integrity_and_Email_Testing_Evidence\BSI.IT.6.C7.3_E03_All Data Integrity Validation Testing_FV.xls</t>
        </is>
      </c>
      <c r="C112" s="65" t="inlineStr">
        <is>
          <t>BCiC – Data Integrity Validation Testing (62 records)</t>
        </is>
      </c>
      <c r="D112" s="65" t="inlineStr">
        <is>
          <t>BCiC export</t>
        </is>
      </c>
      <c r="E112" s="65" t="inlineStr">
        <is>
          <t>BCiC DIV export incl. Business Tester, Business Data Validation Date, Department Manager, Department Manager Approval Date, Y/N Format/Headers/Content, Attestation Date / Provided By. Row numbers quoted are Excel rows.</t>
        </is>
      </c>
      <c r="F112" s="65" t="inlineStr">
        <is>
          <t>Samples: 1822, 1867, 1868, 3299, 4052, 3301, 1903, 1917, 1936, 1937; columns: B, C, D, E, F, G, H, I, K, L, M, O, P</t>
        </is>
      </c>
      <c r="G112" s="67" t="inlineStr">
        <is>
          <t>PASS</t>
        </is>
      </c>
    </row>
    <row r="113" ht="46" customHeight="1" s="73">
      <c r="A113" s="65" t="inlineStr">
        <is>
          <t>E04</t>
        </is>
      </c>
      <c r="B113" s="65" t="inlineStr">
        <is>
          <t>BSI.IT.6.C7.3-Evidences\04_Data_Integrity_and_Email_Testing_Evidence\BSI.IT.6.C7.3_E04_BCiC_Screenshot for Data Integrity Validation report.jpg</t>
        </is>
      </c>
      <c r="C113" s="65" t="inlineStr">
        <is>
          <t>09/10/2026 – Cesar Vidal</t>
        </is>
      </c>
      <c r="D113" s="65" t="inlineStr">
        <is>
          <t>BCiC screenshot</t>
        </is>
      </c>
      <c r="E113" s="65" t="inlineStr">
        <is>
          <t>BCiC 'Data Integrity Validation Testing' screen (1–20 of 66 items) showing tester, validation date, manager, approval date, Y/N results and attestation fields.</t>
        </is>
      </c>
      <c r="F113" s="65" t="inlineStr">
        <is>
          <t>Samples: 1822, 1867, 1868, 3299, 4052, 3301, 1903, 1917, 1936, 1937; columns: D, E, F, G, H, K, P</t>
        </is>
      </c>
      <c r="G113" s="67" t="inlineStr">
        <is>
          <t>PASS</t>
        </is>
      </c>
    </row>
    <row r="114" ht="46" customHeight="1" s="73">
      <c r="A114" s="65" t="inlineStr">
        <is>
          <t>E05</t>
        </is>
      </c>
      <c r="B114" s="65" t="inlineStr">
        <is>
          <t>BSI.IT.6.C7.3-Evidences\04_Data_Integrity_and_Email_Testing_Evidence\BSI.IT.6.C7.3_E05_IT BIA Results Review and preparation for DR .msg</t>
        </is>
      </c>
      <c r="C114" s="65" t="inlineStr">
        <is>
          <t>09/15/2025 – Elizabeth Noda</t>
        </is>
      </c>
      <c r="D114" s="65" t="inlineStr">
        <is>
          <t>Meeting invite</t>
        </is>
      </c>
      <c r="E114" s="65" t="inlineStr">
        <is>
          <t>IT DR meeting invite to review the 2025 BIA results and applications list ahead of the DR exercise (same invite re-sent 09/18/2025 – duplicate E06 removed).</t>
        </is>
      </c>
      <c r="F114" s="65" t="inlineStr">
        <is>
          <t>Samples: 1822, 1867, 1868, 3299, 4052, 3301, 1903, 1917, 1936, 1937; columns: M, N</t>
        </is>
      </c>
      <c r="G114" s="67" t="inlineStr">
        <is>
          <t>PASS</t>
        </is>
      </c>
    </row>
    <row r="115" ht="148" customHeight="1" s="73">
      <c r="A115" s="65" t="inlineStr">
        <is>
          <t>E07</t>
        </is>
      </c>
      <c r="B115" s="65" t="inlineStr">
        <is>
          <t>BSI.IT.6.C7.3-Evidences\04_Data_Integrity_and_Email_Testing_Evidence\BSI.IT.6.C7.3_E07_DATA INTERITY FILS FROM 111425.msg</t>
        </is>
      </c>
      <c r="C115" s="65" t="inlineStr">
        <is>
          <t>11/15/2025 – Frank Puentes</t>
        </is>
      </c>
      <c r="D115" s="65" t="inlineStr">
        <is>
          <t>Email + report attachments</t>
        </is>
      </c>
      <c r="E115" s="6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15" s="65" t="inlineStr">
        <is>
          <t>Samples: 3301, 1903, 1936, 1937; columns: F</t>
        </is>
      </c>
      <c r="G115" s="67" t="inlineStr">
        <is>
          <t>PASS</t>
        </is>
      </c>
    </row>
    <row r="116" ht="160" customHeight="1" s="73">
      <c r="A116" s="65" t="inlineStr">
        <is>
          <t>E08</t>
        </is>
      </c>
      <c r="B116" s="65" t="inlineStr">
        <is>
          <t>BSI.IT.6.C7.3-Evidences\04_Data_Integrity_and_Email_Testing_Evidence\BSI.IT.6.C7.3_E08_FILES FROM 111525 DR TEST - DATA COMPARISON FROM 111425.msg</t>
        </is>
      </c>
      <c r="C116" s="65" t="inlineStr">
        <is>
          <t>11/15/2025 – Frank Puentes</t>
        </is>
      </c>
      <c r="D116" s="65" t="inlineStr">
        <is>
          <t>Email + report attachments</t>
        </is>
      </c>
      <c r="E116"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16" s="65" t="inlineStr">
        <is>
          <t>Samples: 3301, 1903, 1936, 1937; columns: F, M</t>
        </is>
      </c>
      <c r="G116" s="67" t="inlineStr">
        <is>
          <t>PASS</t>
        </is>
      </c>
    </row>
    <row r="117" ht="52" customHeight="1" s="73">
      <c r="A117" s="65" t="inlineStr">
        <is>
          <t>E09</t>
        </is>
      </c>
      <c r="B117" s="65" t="inlineStr">
        <is>
          <t>BSI.IT.6.C7.3-Evidences\04_Data_Integrity_and_Email_Testing_Evidence\BSI.IT.6.C7.3_E09_RE_ Yearly Backup and restore exercise- client back office sign off-ACH,ACH Express, FedExport, FedImport,Imagi.msg</t>
        </is>
      </c>
      <c r="C117" s="65" t="inlineStr">
        <is>
          <t>03/03/2026 – 05/05/2026 – Claudia Romero</t>
        </is>
      </c>
      <c r="D117" s="65" t="inlineStr">
        <is>
          <t>Email approval</t>
        </is>
      </c>
      <c r="E117" s="65" t="inlineStr">
        <is>
          <t>Client Back Office test evidence (Mariorly Morales, Ilumel Rodriguez, Rolando Bonilla) and Claudia Romero "Approved." 05/05/2026. Thread maps ACH Express, FedExport, FedImport, Imaging101 to Client Back Office / Claudia Romero.</t>
        </is>
      </c>
      <c r="F117" s="65" t="inlineStr">
        <is>
          <t>Samples: 1822, 1867, 1868, 3299, 1937; columns: E, G, H, J, M, N, O</t>
        </is>
      </c>
      <c r="G117" s="67" t="inlineStr">
        <is>
          <t>PASS</t>
        </is>
      </c>
    </row>
    <row r="118" ht="46" customHeight="1" s="73">
      <c r="A118" s="65" t="inlineStr">
        <is>
          <t>E10</t>
        </is>
      </c>
      <c r="B118" s="65" t="inlineStr">
        <is>
          <t>BSI.IT.6.C7.3-Evidences\04_Data_Integrity_and_Email_Testing_Evidence\BSI.IT.6.C7.3_E10_RE_ Yearly Backup and restore exercise-- re-run- Finance approval-T24-ReconXpert.msg</t>
        </is>
      </c>
      <c r="C118" s="65" t="inlineStr">
        <is>
          <t>03/09/2026 – Lina Acuna</t>
        </is>
      </c>
      <c r="D118" s="65" t="inlineStr">
        <is>
          <t>Email approval</t>
        </is>
      </c>
      <c r="E118" s="65" t="inlineStr">
        <is>
          <t>Finance DIV results chart (Jose Acero) and Lina Acuna "Approved" 03/09/2026 (T24 / ReconXpert backup-restore).</t>
        </is>
      </c>
      <c r="F118" s="65" t="inlineStr">
        <is>
          <t>Samples: 1917, 1937; columns: M</t>
        </is>
      </c>
      <c r="G118" s="67" t="inlineStr">
        <is>
          <t>PASS</t>
        </is>
      </c>
    </row>
    <row r="119" ht="46" customHeight="1" s="73">
      <c r="A119" s="65" t="inlineStr">
        <is>
          <t>E13</t>
        </is>
      </c>
      <c r="B119" s="65" t="inlineStr">
        <is>
          <t>BSI.IT.6.C7.3-Evidences\04_Data_Integrity_and_Email_Testing_Evidence\BSI.IT.6.C7.3_E13_miasx2 T24 environment(s)  miaeod miabed01 refreshed correctly.msg</t>
        </is>
      </c>
      <c r="C119" s="65" t="inlineStr">
        <is>
          <t>11/13/2024 – T24 backup user</t>
        </is>
      </c>
      <c r="D119" s="65" t="inlineStr">
        <is>
          <t>System email</t>
        </is>
      </c>
      <c r="E119" s="65" t="inlineStr">
        <is>
          <t>T24 environment refresh log – prior period (outside review period); supplemental only.</t>
        </is>
      </c>
      <c r="F119" s="65" t="inlineStr">
        <is>
          <t>Samples: —; columns: — (supplemental)</t>
        </is>
      </c>
      <c r="G119" s="68" t="inlineStr">
        <is>
          <t>N/A – supplemental, not relied on</t>
        </is>
      </c>
    </row>
    <row r="120" ht="46" customHeight="1" s="73">
      <c r="A120" s="65" t="inlineStr">
        <is>
          <t>E16b</t>
        </is>
      </c>
      <c r="B120" s="65" t="inlineStr">
        <is>
          <t>BSI.IT.6.C7.3-Evidences\04_Data_Integrity_and_Email_Testing_Evidence\BSI.IT.6.C7.3_E16b_All Data Integrity Validation Testing-BSI 2025-26.xlsx</t>
        </is>
      </c>
      <c r="C120" s="65" t="inlineStr">
        <is>
          <t>08/2026 – BCiC export sent with attestation request</t>
        </is>
      </c>
      <c r="D120" s="65" t="inlineStr">
        <is>
          <t>BCiC export</t>
        </is>
      </c>
      <c r="E120" s="65" t="inlineStr">
        <is>
          <t>BCiC DIV export 2025-26 (64 rows; no manager columns) sent to managers with the attestation request and returned by M. T. Del Cerro (DMA05). Row numbers are Excel rows.</t>
        </is>
      </c>
      <c r="F120" s="65" t="inlineStr">
        <is>
          <t>Samples: 1822, 1867, 1868, 3299, 4052, 3301, 1903, 1917, 1936, 1937; columns: B, D, E, F, I, K, P</t>
        </is>
      </c>
      <c r="G120" s="67" t="inlineStr">
        <is>
          <t>PASS</t>
        </is>
      </c>
    </row>
    <row r="121" s="73"/>
    <row r="122" ht="15.5" customHeight="1" s="73">
      <c r="A122" s="87" t="inlineStr">
        <is>
          <t>Evidence reference table – each evidence number and every attribute test that references it</t>
        </is>
      </c>
    </row>
    <row r="123" ht="26" customHeight="1" s="73">
      <c r="A123" s="62" t="inlineStr">
        <is>
          <t>Ref</t>
        </is>
      </c>
      <c r="B123" s="62" t="inlineStr">
        <is>
          <t>Evidence file (repository location)</t>
        </is>
      </c>
      <c r="C123" s="62" t="inlineStr">
        <is>
          <t>Date / owner / operator</t>
        </is>
      </c>
      <c r="D123" s="62" t="inlineStr">
        <is>
          <t>Samples supported</t>
        </is>
      </c>
      <c r="E123" s="62" t="inlineStr">
        <is>
          <t>Attribute tests referencing this evidence (column – attribute → samples)</t>
        </is>
      </c>
      <c r="F123" s="62" t="inlineStr">
        <is>
          <t>Sections</t>
        </is>
      </c>
      <c r="G123" s="62" t="inlineStr">
        <is>
          <t>Control Sample Assessment Result (Pass/Fail)</t>
        </is>
      </c>
    </row>
    <row r="124" ht="124" customHeight="1" s="73">
      <c r="A124" s="69" t="inlineStr">
        <is>
          <t>BLA01</t>
        </is>
      </c>
      <c r="B124" s="65" t="inlineStr">
        <is>
          <t>BSI.IT.6.C7.3-Evidences\02_Business_Line_Approval_Results_Email\BLA01_Client Back Office - FED Inclearing ACH &amp; Cash Letter - DIV Test Results 11-15-2025.pdf</t>
        </is>
      </c>
      <c r="C124" s="65" t="inlineStr">
        <is>
          <t>11/15/2025 – Client Back Office (operator Raimy Ayala)</t>
        </is>
      </c>
      <c r="D124" s="65" t="inlineStr">
        <is>
          <t>1822 ACH Express, 1867 FedExport - BSI, 1868 FedImport - BSI, 3299 Imaging101, 1937 T24</t>
        </is>
      </c>
      <c r="E124" s="65"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124" s="65" t="inlineStr">
        <is>
          <t>Supporting evidence – see Evidence review entry and tab Application Attribute Testing-1</t>
        </is>
      </c>
      <c r="G124" s="67" t="inlineStr">
        <is>
          <t>PASS</t>
        </is>
      </c>
    </row>
    <row r="125" ht="112" customHeight="1" s="73">
      <c r="A125" s="69" t="inlineStr">
        <is>
          <t>BLA02</t>
        </is>
      </c>
      <c r="B125" s="65" t="inlineStr">
        <is>
          <t>BSI.IT.6.C7.3-Evidences\02_Business_Line_Approval_Results_Email\BLA02_BSA_AML_OFAC Compliance - OFAC Verifier - DIV Test Results 11-15-2025.pdf</t>
        </is>
      </c>
      <c r="C125" s="65" t="inlineStr">
        <is>
          <t>11/15/2025 – BSA/AML/OFAC Compliance (operator David Marquez)</t>
        </is>
      </c>
      <c r="D125" s="65" t="inlineStr">
        <is>
          <t>3299 Imaging101, 1903 OFAC - BSI, 1937 T24</t>
        </is>
      </c>
      <c r="E125" s="65"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125" s="65" t="inlineStr">
        <is>
          <t>Supporting evidence – see Evidence review entry and tab Application Attribute Testing-1</t>
        </is>
      </c>
      <c r="G125" s="67" t="inlineStr">
        <is>
          <t>PASS</t>
        </is>
      </c>
    </row>
    <row r="126" ht="112" customHeight="1" s="73">
      <c r="A126" s="69" t="inlineStr">
        <is>
          <t>BLA03</t>
        </is>
      </c>
      <c r="B126" s="65" t="inlineStr">
        <is>
          <t>BSI.IT.6.C7.3-Evidences\02_Business_Line_Approval_Results_Email\BLA03_Payments &amp; Cash Management - Payments Script - DIV Test Results 11-15-2025.pdf</t>
        </is>
      </c>
      <c r="C126" s="65" t="inlineStr">
        <is>
          <t>11/15/2025 – Payments &amp; Position Management (operators Frank Puentes / Gustavo Bucaro)</t>
        </is>
      </c>
      <c r="D126" s="65" t="inlineStr">
        <is>
          <t>3301 MQ Payment Monitor, 1903 OFAC - BSI, 1936 Swift Interface - BSI, 1937 T24</t>
        </is>
      </c>
      <c r="E126" s="65"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126" s="65" t="inlineStr">
        <is>
          <t>Supporting evidence – see Evidence review entry and tab Application Attribute Testing-1</t>
        </is>
      </c>
      <c r="G126" s="67" t="inlineStr">
        <is>
          <t>PASS</t>
        </is>
      </c>
    </row>
    <row r="127" ht="112" customHeight="1" s="73">
      <c r="A127" s="69" t="inlineStr">
        <is>
          <t>BLA04</t>
        </is>
      </c>
      <c r="B127" s="65" t="inlineStr">
        <is>
          <t>BSI.IT.6.C7.3-Evidences\02_Business_Line_Approval_Results_Email\BLA04_Investment Operations - Treasury Hub &amp; Derivatives Operations - DIV Test Results 11-15-2025.docx</t>
        </is>
      </c>
      <c r="C127" s="65" t="inlineStr">
        <is>
          <t>11/15/2025 – Investment Operations (operator Michelle Oropesa)</t>
        </is>
      </c>
      <c r="D127" s="65" t="inlineStr">
        <is>
          <t>4052 Interface Monitor, 1936 Swift Interface - BSI, 1937 T24</t>
        </is>
      </c>
      <c r="E127" s="65"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127" s="65" t="inlineStr">
        <is>
          <t>Supporting evidence – see Evidence review entry and tab Application Attribute Testing-1</t>
        </is>
      </c>
      <c r="G127" s="67" t="inlineStr">
        <is>
          <t>PASS</t>
        </is>
      </c>
    </row>
    <row r="128" ht="112" customHeight="1" s="73">
      <c r="A128" s="69" t="inlineStr">
        <is>
          <t>BLA05</t>
        </is>
      </c>
      <c r="B128" s="65" t="inlineStr">
        <is>
          <t>BSI.IT.6.C7.3-Evidences\02_Business_Line_Approval_Results_Email\BLA05_Financial Analysis and Control - GL ReconXpert - DIV Test Results 11-15-2025.pdf</t>
        </is>
      </c>
      <c r="C128" s="65" t="inlineStr">
        <is>
          <t>11/15/2025 – Finance &amp; Accounting Reporting (operator Dunia Gonzalez Collado)</t>
        </is>
      </c>
      <c r="D128" s="65" t="inlineStr">
        <is>
          <t>1917 ReconXpert, 1937 T24</t>
        </is>
      </c>
      <c r="E128" s="65"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128" s="65" t="inlineStr">
        <is>
          <t>Supporting evidence – see Evidence review entry and tab Application Attribute Testing-1</t>
        </is>
      </c>
      <c r="G128" s="67" t="inlineStr">
        <is>
          <t>PASS</t>
        </is>
      </c>
    </row>
    <row r="129" ht="64" customHeight="1" s="73">
      <c r="A129" s="69" t="inlineStr">
        <is>
          <t>BLA06</t>
        </is>
      </c>
      <c r="B129" s="65" t="inlineStr">
        <is>
          <t>BSI.IT.6.C7.3-Evidences\02_Business_Line_Approval_Results_Email\BLA06_RE_ Testing enviroment - Financial Analysis Manager Approval - Sadis Alvarenga 01-26-2026.msg</t>
        </is>
      </c>
      <c r="C129" s="65" t="inlineStr">
        <is>
          <t>12/31/2025 &amp; 01/26/2026 – Sadis Alvarenga</t>
        </is>
      </c>
      <c r="D129" s="65" t="inlineStr">
        <is>
          <t>1917 ReconXpert, 1937 T24</t>
        </is>
      </c>
      <c r="E129" s="65" t="inlineStr">
        <is>
          <t>G – Business line manager name → 1917, 1937
H – Business line manager approval dates → 1917, 1937
J – Emails showing Business line manager approval of DIV testing results → 1917, 1937
O – Business Line Approval of Results → 1917, 1937</t>
        </is>
      </c>
      <c r="F129" s="65" t="inlineStr">
        <is>
          <t>Key evidence in section(s): 9. Emails showing Business line manager approval of DIV testing results; 14. Business Line Approval of Results</t>
        </is>
      </c>
      <c r="G129" s="67" t="inlineStr">
        <is>
          <t>PASS</t>
        </is>
      </c>
    </row>
    <row r="130" ht="88" customHeight="1" s="73">
      <c r="A130" s="69" t="inlineStr">
        <is>
          <t>DMA01</t>
        </is>
      </c>
      <c r="B130" s="65" t="inlineStr">
        <is>
          <t>BSI.IT.6.C7.3-Evidences\03_DIV_Manager_Attestation_Email_Approvals\DMA01_RE_ Management Attestation – DIV – Client Back Office - Claudia Romero 08-18-2026.msg</t>
        </is>
      </c>
      <c r="C130" s="65" t="inlineStr">
        <is>
          <t>08/18/2026 – Claudia Romero</t>
        </is>
      </c>
      <c r="D130" s="65" t="inlineStr">
        <is>
          <t>1822 ACH Express, 1867 FedExport - BSI, 1868 FedImport - BSI, 3299 Imaging101, 1937 T24</t>
        </is>
      </c>
      <c r="E130" s="65"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130" s="65" t="inlineStr">
        <is>
          <t>Key evidence in section(s): 9. Emails showing Business line manager approval of DIV testing results; 14. Business Line Approval of Results</t>
        </is>
      </c>
      <c r="G130" s="67" t="inlineStr">
        <is>
          <t>PASS</t>
        </is>
      </c>
    </row>
    <row r="131" ht="196" customHeight="1" s="73">
      <c r="A131" s="69" t="inlineStr">
        <is>
          <t>DMA02</t>
        </is>
      </c>
      <c r="B131" s="65" t="inlineStr">
        <is>
          <t>BSI.IT.6.C7.3-Evidences\03_DIV_Manager_Attestation_Email_Approvals\DMA02_RE_ Management Attestation – DIV – BSA-AML-OFAC Compliance - David Marquez 08-19-2026.msg</t>
        </is>
      </c>
      <c r="C131" s="65" t="inlineStr">
        <is>
          <t>08/19/2026 – David Marquez</t>
        </is>
      </c>
      <c r="D131" s="65" t="inlineStr">
        <is>
          <t>1822 ACH Express, 1867 FedExport - BSI, 1868 FedImport - BSI, 3299 Imaging101, 4052 Interface Monitor, 3301 MQ Payment Monitor, 1903 OFAC - BSI, 1917 ReconXpert, 1936 Swift Interface - BSI, 1937 T24</t>
        </is>
      </c>
      <c r="E131" s="65"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131" s="65" t="inlineStr">
        <is>
          <t>Key evidence in section(s): 9. Emails showing Business line manager approval of DIV testing results; 14. Business Line Approval of Results</t>
        </is>
      </c>
      <c r="G131" s="67" t="inlineStr">
        <is>
          <t>PASS</t>
        </is>
      </c>
    </row>
    <row r="132" ht="64" customHeight="1" s="73">
      <c r="A132" s="69" t="inlineStr">
        <is>
          <t>DMA03</t>
        </is>
      </c>
      <c r="B132" s="65" t="inlineStr">
        <is>
          <t>BSI.IT.6.C7.3-Evidences\03_DIV_Manager_Attestation_Email_Approvals\DMA03_RE_ Management Attestation – DIV – Payments &amp; Cash Management - Frank Puentes 08-18-2026.msg</t>
        </is>
      </c>
      <c r="C132" s="65" t="inlineStr">
        <is>
          <t>08/18/2026 – Frank Puentes</t>
        </is>
      </c>
      <c r="D132" s="65" t="inlineStr">
        <is>
          <t>3301 MQ Payment Monitor, 1903 OFAC - BSI, 1937 T24</t>
        </is>
      </c>
      <c r="E132" s="65" t="inlineStr">
        <is>
          <t>G – Business line manager name → 3301, 1903, 1937
H – Business line manager approval dates → 3301, 1903, 1937
J – Emails showing Business line manager approval of DIV testing results → 3301, 1903, 1937
O – Business Line Approval of Results → 3301, 1903, 1937</t>
        </is>
      </c>
      <c r="F132" s="65" t="inlineStr">
        <is>
          <t>Key evidence in section(s): 9. Emails showing Business line manager approval of DIV testing results; 14. Business Line Approval of Results</t>
        </is>
      </c>
      <c r="G132" s="67" t="inlineStr">
        <is>
          <t>PASS</t>
        </is>
      </c>
    </row>
    <row r="133" ht="64" customHeight="1" s="73">
      <c r="A133" s="69" t="inlineStr">
        <is>
          <t>DMA04</t>
        </is>
      </c>
      <c r="B133" s="65" t="inlineStr">
        <is>
          <t>BSI.IT.6.C7.3-Evidences\03_DIV_Manager_Attestation_Email_Approvals\DMA04_RE_ Management Attestation – DIV – Investment Operations - Michelle Oropesa 08-17-2026.msg</t>
        </is>
      </c>
      <c r="C133" s="65" t="inlineStr">
        <is>
          <t>08/17/2026 – Michelle Oropesa</t>
        </is>
      </c>
      <c r="D133" s="65" t="inlineStr">
        <is>
          <t>4052 Interface Monitor, 1936 Swift Interface - BSI, 1937 T24</t>
        </is>
      </c>
      <c r="E133" s="65" t="inlineStr">
        <is>
          <t>G – Business line manager name → 4052, 1936, 1937
H – Business line manager approval dates → 4052, 1936, 1937
J – Emails showing Business line manager approval of DIV testing results → 4052, 1936, 1937
O – Business Line Approval of Results → 4052, 1936, 1937</t>
        </is>
      </c>
      <c r="F133" s="65" t="inlineStr">
        <is>
          <t>Key evidence in section(s): 9. Emails showing Business line manager approval of DIV testing results; 14. Business Line Approval of Results</t>
        </is>
      </c>
      <c r="G133" s="67" t="inlineStr">
        <is>
          <t>PASS</t>
        </is>
      </c>
    </row>
    <row r="134" ht="64" customHeight="1" s="73">
      <c r="A134" s="69" t="inlineStr">
        <is>
          <t>DMA05</t>
        </is>
      </c>
      <c r="B134" s="65" t="inlineStr">
        <is>
          <t>BSI.IT.6.C7.3-Evidences\03_DIV_Manager_Attestation_Email_Approvals\DMA05_RE_ Management Attestation – DIV – Operations (Governance &amp; Static Data, Multi-Family Office) - Maria Teresa Del Cerro 08-19-2026.msg</t>
        </is>
      </c>
      <c r="C134" s="65" t="inlineStr">
        <is>
          <t>08/19/2026 – Maria Teresa (Mayte) Del Cerro</t>
        </is>
      </c>
      <c r="D134" s="65" t="inlineStr">
        <is>
          <t>3299 Imaging101, 1903 OFAC - BSI, 1937 T24</t>
        </is>
      </c>
      <c r="E134" s="65" t="inlineStr">
        <is>
          <t>G – Business line manager name → 3299, 1903, 1937
H – Business line manager approval dates → 3299, 1903, 1937
J – Emails showing Business line manager approval of DIV testing results → 3299, 1903, 1937
O – Business Line Approval of Results → 3299, 1903, 1937</t>
        </is>
      </c>
      <c r="F134" s="65" t="inlineStr">
        <is>
          <t>Supporting evidence – see Evidence review entry and tab Application Attribute Testing-1</t>
        </is>
      </c>
      <c r="G134" s="67" t="inlineStr">
        <is>
          <t>PASS</t>
        </is>
      </c>
    </row>
    <row r="135" ht="64" customHeight="1" s="73">
      <c r="A135" s="69" t="inlineStr">
        <is>
          <t>DMA06</t>
        </is>
      </c>
      <c r="B135" s="65" t="inlineStr">
        <is>
          <t>BSI.IT.6.C7.3-Evidences\03_DIV_Manager_Attestation_Email_Approvals\DMA06_RE_ Management Attestation – DIV – Trading &amp; Capital Markets (AIS, Portfolio Advisory, P&amp;I Tech) - Ricardo Garcia-Marques 08-18-2026.msg</t>
        </is>
      </c>
      <c r="C135" s="65" t="inlineStr">
        <is>
          <t>08/18/2026 – Ricardo Garcia-Marques</t>
        </is>
      </c>
      <c r="D135" s="65" t="inlineStr">
        <is>
          <t>1937 T24</t>
        </is>
      </c>
      <c r="E135" s="65" t="inlineStr">
        <is>
          <t>G – Business line manager name → 1937
H – Business line manager approval dates → 1937
J – Emails showing Business line manager approval of DIV testing results → 1937
O – Business Line Approval of Results → 1937</t>
        </is>
      </c>
      <c r="F135" s="65" t="inlineStr">
        <is>
          <t>Supporting evidence – see Evidence review entry and tab Application Attribute Testing-1</t>
        </is>
      </c>
      <c r="G135" s="67" t="inlineStr">
        <is>
          <t>PASS</t>
        </is>
      </c>
    </row>
    <row r="136" ht="64" customHeight="1" s="73">
      <c r="A136" s="69" t="inlineStr">
        <is>
          <t>DMA07</t>
        </is>
      </c>
      <c r="B136" s="65" t="inlineStr">
        <is>
          <t>BSI.IT.6.C7.3-Evidences\03_DIV_Manager_Attestation_Email_Approvals\DMA07_RE_ Management Attestation – DIV – Treasury &amp; Capital Planning - Martha Sullivan 08-18-2026.msg</t>
        </is>
      </c>
      <c r="C136" s="65" t="inlineStr">
        <is>
          <t>08/18/2026 – Martha Sullivan</t>
        </is>
      </c>
      <c r="D136" s="65" t="inlineStr">
        <is>
          <t>1937 T24</t>
        </is>
      </c>
      <c r="E136" s="65" t="inlineStr">
        <is>
          <t>G – Business line manager name → 1937
H – Business line manager approval dates → 1937
J – Emails showing Business line manager approval of DIV testing results → 1937
O – Business Line Approval of Results → 1937</t>
        </is>
      </c>
      <c r="F136" s="65" t="inlineStr">
        <is>
          <t>Supporting evidence – see Evidence review entry and tab Application Attribute Testing-1</t>
        </is>
      </c>
      <c r="G136" s="67" t="inlineStr">
        <is>
          <t>PASS</t>
        </is>
      </c>
    </row>
    <row r="137" ht="64" customHeight="1" s="73">
      <c r="A137" s="69" t="inlineStr">
        <is>
          <t>DMA08</t>
        </is>
      </c>
      <c r="B137" s="65" t="inlineStr">
        <is>
          <t>BSI.IT.6.C7.3-Evidences\03_DIV_Manager_Attestation_Email_Approvals\DMA08_RE_ Management Attestation – DIV – Solvency &amp; Market Risk (Financial Risk) - Ivan Caisapanta 08-18-2026.msg</t>
        </is>
      </c>
      <c r="C137" s="65" t="inlineStr">
        <is>
          <t>08/18/2026 – Ivan Caisapanta</t>
        </is>
      </c>
      <c r="D137" s="65" t="inlineStr">
        <is>
          <t>1937 T24</t>
        </is>
      </c>
      <c r="E137" s="65" t="inlineStr">
        <is>
          <t>G – Business line manager name → 1937
H – Business line manager approval dates → 1937
J – Emails showing Business line manager approval of DIV testing results → 1937
O – Business Line Approval of Results → 1937</t>
        </is>
      </c>
      <c r="F137" s="65" t="inlineStr">
        <is>
          <t>Supporting evidence – see Evidence review entry and tab Application Attribute Testing-1</t>
        </is>
      </c>
      <c r="G137" s="67" t="inlineStr">
        <is>
          <t>PASS</t>
        </is>
      </c>
    </row>
    <row r="138" ht="64" customHeight="1" s="73">
      <c r="A138" s="69" t="inlineStr">
        <is>
          <t>DMA09</t>
        </is>
      </c>
      <c r="B138" s="65" t="inlineStr">
        <is>
          <t>BSI.IT.6.C7.3-Evidences\03_DIV_Manager_Attestation_Email_Approvals\DMA09_RE_ Management Attestation – DIV – General Services (Marketing &amp; General Services) - Clara De Castro 08-18-2026.msg</t>
        </is>
      </c>
      <c r="C138" s="65" t="inlineStr">
        <is>
          <t>08/18/2026 – Clara G. De Castro</t>
        </is>
      </c>
      <c r="D138" s="65" t="inlineStr">
        <is>
          <t>1937 T24</t>
        </is>
      </c>
      <c r="E138" s="65" t="inlineStr">
        <is>
          <t>G – Business line manager name → 1937
H – Business line manager approval dates → 1937
J – Emails showing Business line manager approval of DIV testing results → 1937
O – Business Line Approval of Results → 1937</t>
        </is>
      </c>
      <c r="F138" s="65" t="inlineStr">
        <is>
          <t>Supporting evidence – see Evidence review entry and tab Application Attribute Testing-1</t>
        </is>
      </c>
      <c r="G138" s="67" t="inlineStr">
        <is>
          <t>PASS</t>
        </is>
      </c>
    </row>
    <row r="139" ht="64" customHeight="1" s="73">
      <c r="A139" s="69" t="inlineStr">
        <is>
          <t>DMA10</t>
        </is>
      </c>
      <c r="B139" s="65" t="inlineStr">
        <is>
          <t>BSI.IT.6.C7.3-Evidences\03_DIV_Manager_Attestation_Email_Approvals\DMA10_RE_ Management Attestation – DIV – Digital Wealth - Victoria Fernandez 08-21-2026.eml</t>
        </is>
      </c>
      <c r="C139" s="65" t="inlineStr">
        <is>
          <t>08/21/2026 – Victoria Fernandez</t>
        </is>
      </c>
      <c r="D139" s="65" t="inlineStr">
        <is>
          <t>1937 T24</t>
        </is>
      </c>
      <c r="E139" s="65" t="inlineStr">
        <is>
          <t>G – Business line manager name → 1937
H – Business line manager approval dates → 1937
J – Emails showing Business line manager approval of DIV testing results → 1937
O – Business Line Approval of Results → 1937</t>
        </is>
      </c>
      <c r="F139" s="65" t="inlineStr">
        <is>
          <t>Supporting evidence – see Evidence review entry and tab Application Attribute Testing-1</t>
        </is>
      </c>
      <c r="G139" s="67" t="inlineStr">
        <is>
          <t>PASS</t>
        </is>
      </c>
    </row>
    <row r="140" ht="64" customHeight="1" s="73">
      <c r="A140" s="69" t="inlineStr">
        <is>
          <t>DMA11</t>
        </is>
      </c>
      <c r="B140" s="65" t="inlineStr">
        <is>
          <t>BSI.IT.6.C7.3-Evidences\03_DIV_Manager_Attestation_Email_Approvals\DMA11_RE_ Management Attestation – DIV – Commercial Middle Office - Miguel Orozco 09-09-2026.eml</t>
        </is>
      </c>
      <c r="C140" s="65" t="inlineStr">
        <is>
          <t>09/09/2026 – Miguel Orozco</t>
        </is>
      </c>
      <c r="D140" s="65" t="inlineStr">
        <is>
          <t>3299 Imaging101, 1937 T24</t>
        </is>
      </c>
      <c r="E140" s="65" t="inlineStr">
        <is>
          <t>G – Business line manager name → 3299, 1937
H – Business line manager approval dates → 3299, 1937
J – Emails showing Business line manager approval of DIV testing results → 3299, 1937
O – Business Line Approval of Results → 3299, 1937</t>
        </is>
      </c>
      <c r="F140" s="65" t="inlineStr">
        <is>
          <t>Supporting evidence – see Evidence review entry and tab Application Attribute Testing-1</t>
        </is>
      </c>
      <c r="G140" s="67" t="inlineStr">
        <is>
          <t>PASS</t>
        </is>
      </c>
    </row>
    <row r="141" ht="64" customHeight="1" s="73">
      <c r="A141" s="69" t="inlineStr">
        <is>
          <t>DMA12</t>
        </is>
      </c>
      <c r="B141" s="65" t="inlineStr">
        <is>
          <t>BSI.IT.6.C7.3-Evidences\03_DIV_Manager_Attestation_Email_Approvals\DMA12_RE_ Management Attestation – DIV – Client Servicing Unit - Liliana Vizhnay 09-09-2026.eml</t>
        </is>
      </c>
      <c r="C141" s="65" t="inlineStr">
        <is>
          <t>09/09/2026 – Liliana Vizhnay</t>
        </is>
      </c>
      <c r="D141" s="65" t="inlineStr">
        <is>
          <t>1937 T24</t>
        </is>
      </c>
      <c r="E141" s="65" t="inlineStr">
        <is>
          <t>G – Business line manager name → 1937
H – Business line manager approval dates → 1937
J – Emails showing Business line manager approval of DIV testing results → 1937
O – Business Line Approval of Results → 1937</t>
        </is>
      </c>
      <c r="F141" s="65" t="inlineStr">
        <is>
          <t>Supporting evidence – see Evidence review entry and tab Application Attribute Testing-1</t>
        </is>
      </c>
      <c r="G141" s="67" t="inlineStr">
        <is>
          <t>PASS</t>
        </is>
      </c>
    </row>
    <row r="142" ht="46" customHeight="1" s="73">
      <c r="A142" s="69" t="inlineStr">
        <is>
          <t>DMA13</t>
        </is>
      </c>
      <c r="B142" s="65" t="inlineStr">
        <is>
          <t>BSI.IT.6.C7.3-Evidences\03_DIV_Manager_Attestation_Email_Approvals\DMA13_RE_ Management Attestation – DIV – IT Unified Communication - Cisco Call Manager - Elizabeth Noda 09-09-2026 (out of scope).eml</t>
        </is>
      </c>
      <c r="C142" s="65" t="inlineStr">
        <is>
          <t>09/09/2026 – Elizabeth Noda</t>
        </is>
      </c>
      <c r="D142" s="65" t="inlineStr">
        <is>
          <t>—</t>
        </is>
      </c>
      <c r="E142" s="65" t="inlineStr">
        <is>
          <t>Not referenced by any attribute test – retained for completeness.</t>
        </is>
      </c>
      <c r="F142" s="65" t="inlineStr">
        <is>
          <t>Supporting evidence – see Evidence review entry and tab Application Attribute Testing-1</t>
        </is>
      </c>
      <c r="G142" s="68" t="inlineStr">
        <is>
          <t>N/A – supplemental, not relied on</t>
        </is>
      </c>
    </row>
    <row r="143" ht="76" customHeight="1" s="73">
      <c r="A143" s="69" t="inlineStr">
        <is>
          <t>MA01</t>
        </is>
      </c>
      <c r="B143" s="65" t="inlineStr">
        <is>
          <t>BSI.IT.6.C7.3-Evidences\01_Management_Attestation_In-Scope_Applications\MA01_BSI In-Scope Applications-2026.png</t>
        </is>
      </c>
      <c r="C143" s="65" t="inlineStr">
        <is>
          <t>09/23/2026 – Cesar Vidal (BCiC walkthrough)</t>
        </is>
      </c>
      <c r="D143" s="65" t="inlineStr">
        <is>
          <t>1822 ACH Express, 1867 FedExport - BSI, 1868 FedImport - BSI, 3299 Imaging101, 4052 Interface Monitor, 3301 MQ Payment Monitor, 1903 OFAC - BSI, 1917 ReconXpert, 1936 Swift Interface - BSI, 1937 T24</t>
        </is>
      </c>
      <c r="E143"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3" s="65" t="inlineStr">
        <is>
          <t>Key evidence in section(s): 1. Application Name; 13. Applications in Scope Identified</t>
        </is>
      </c>
      <c r="G143" s="67" t="inlineStr">
        <is>
          <t>PASS</t>
        </is>
      </c>
    </row>
    <row r="144" ht="148" customHeight="1" s="73">
      <c r="A144" s="69" t="inlineStr">
        <is>
          <t>E01</t>
        </is>
      </c>
      <c r="B144" s="65" t="inlineStr">
        <is>
          <t>BSI.IT.6.C7.3-Evidences\04_Data_Integrity_and_Email_Testing_Evidence\BSI.IT.6.C7.3_E01_Applications In Scope for DR Test BSI (13).xlsx</t>
        </is>
      </c>
      <c r="C144" s="65" t="inlineStr">
        <is>
          <t>BCiC – Applications In Scope for DR Test BSI</t>
        </is>
      </c>
      <c r="D144" s="65" t="inlineStr">
        <is>
          <t>1822 ACH Express, 1867 FedExport - BSI, 1868 FedImport - BSI, 3299 Imaging101, 4052 Interface Monitor, 3301 MQ Payment Monitor, 1903 OFAC - BSI, 1917 ReconXpert, 1936 Swift Interface - BSI, 1937 T24</t>
        </is>
      </c>
      <c r="E144" s="65" t="inlineStr">
        <is>
          <t>D – Application Name → 1822, 1867, 1868, 3299, 4052, 3301, 1903, 1917, 1936, 1937
B – IT DR exercise name → 1822, 1867, 1868, 3299, 4052, 3301, 1903, 1917, 1936, 1937
C – IT DR exercise name, was the excercise annually executed?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144" s="65" t="inlineStr">
        <is>
          <t>Key evidence in section(s): 2. IT DR exercise name; 11. Annual Testing Executed</t>
        </is>
      </c>
      <c r="G144" s="67" t="inlineStr">
        <is>
          <t>PASS</t>
        </is>
      </c>
    </row>
    <row r="145" ht="76" customHeight="1" s="73">
      <c r="A145" s="69" t="inlineStr">
        <is>
          <t>E02</t>
        </is>
      </c>
      <c r="B145" s="65" t="inlineStr">
        <is>
          <t>BSI.IT.6.C7.3-Evidences\04_Data_Integrity_and_Email_Testing_Evidence\BSI.IT.6.C7.3_E02_screenshot BCiC apps in scope for DR Testing.jpg</t>
        </is>
      </c>
      <c r="C145" s="65" t="inlineStr">
        <is>
          <t>09/10/2026 – Cesar Vidal</t>
        </is>
      </c>
      <c r="D145" s="65" t="inlineStr">
        <is>
          <t>1822 ACH Express, 1867 FedExport - BSI, 1868 FedImport - BSI, 3299 Imaging101, 4052 Interface Monitor, 3301 MQ Payment Monitor, 1903 OFAC - BSI, 1917 ReconXpert, 1936 Swift Interface - BSI, 1937 T24</t>
        </is>
      </c>
      <c r="E145"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5" s="65" t="inlineStr">
        <is>
          <t>Supporting evidence – see Evidence review entry and tab Application Attribute Testing-1</t>
        </is>
      </c>
      <c r="G145" s="67" t="inlineStr">
        <is>
          <t>PASS</t>
        </is>
      </c>
    </row>
    <row r="146" ht="292" customHeight="1" s="73">
      <c r="A146" s="69" t="inlineStr">
        <is>
          <t>E03</t>
        </is>
      </c>
      <c r="B146" s="65" t="inlineStr">
        <is>
          <t>BSI.IT.6.C7.3-Evidences\04_Data_Integrity_and_Email_Testing_Evidence\BSI.IT.6.C7.3_E03_All Data Integrity Validation Testing_FV.xls</t>
        </is>
      </c>
      <c r="C146" s="65" t="inlineStr">
        <is>
          <t>BCiC – Data Integrity Validation Testing (62 records)</t>
        </is>
      </c>
      <c r="D146" s="65" t="inlineStr">
        <is>
          <t>1822 ACH Express, 1867 FedExport - BSI, 1868 FedImport - BSI, 3299 Imaging101, 4052 Interface Monitor, 3301 MQ Payment Monitor, 1903 OFAC - BSI, 1917 ReconXpert, 1936 Swift Interface - BSI, 1937 T24</t>
        </is>
      </c>
      <c r="E146" s="65" t="inlineStr">
        <is>
          <t>D – Application Name → 1822, 1867, 1868, 3299, 4052, 3301, 1903, 1917, 1936, 1937
B – IT DR exercise name → 1822, 1867, 1868, 3299, 4052, 3301, 1903, 1917, 1936, 1937
C – IT DR exercise name, was the excercise annually executed?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146" s="65" t="inlineStr">
        <is>
          <t>Key evidence in section(s): 4. Business Tester; 5. Business Data validation; 6. Business line manager name; 7. Business line manager approval dates; 8. DIV Test procedures listed within the Test results document; 10. All evidence of Data Integrity DR test in BCIC</t>
        </is>
      </c>
      <c r="G146" s="67" t="inlineStr">
        <is>
          <t>PASS</t>
        </is>
      </c>
    </row>
    <row r="147" ht="136" customHeight="1" s="73">
      <c r="A147" s="69" t="inlineStr">
        <is>
          <t>E04</t>
        </is>
      </c>
      <c r="B147" s="65" t="inlineStr">
        <is>
          <t>BSI.IT.6.C7.3-Evidences\04_Data_Integrity_and_Email_Testing_Evidence\BSI.IT.6.C7.3_E04_BCiC_Screenshot for Data Integrity Validation report.jpg</t>
        </is>
      </c>
      <c r="C147" s="65" t="inlineStr">
        <is>
          <t>09/10/2026 – Cesar Vidal</t>
        </is>
      </c>
      <c r="D147" s="65" t="inlineStr">
        <is>
          <t>1822 ACH Express, 1867 FedExport - BSI, 1868 FedImport - BSI, 3299 Imaging101, 4052 Interface Monitor, 3301 MQ Payment Monitor, 1903 OFAC - BSI, 1917 ReconXpert, 1936 Swift Interface - BSI, 1937 T24</t>
        </is>
      </c>
      <c r="E147" s="65"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147" s="65" t="inlineStr">
        <is>
          <t>Supporting evidence – see Evidence review entry and tab Application Attribute Testing-1</t>
        </is>
      </c>
      <c r="G147" s="67" t="inlineStr">
        <is>
          <t>PASS</t>
        </is>
      </c>
    </row>
    <row r="148" ht="64" customHeight="1" s="73">
      <c r="A148" s="69" t="inlineStr">
        <is>
          <t>E05</t>
        </is>
      </c>
      <c r="B148" s="65" t="inlineStr">
        <is>
          <t>BSI.IT.6.C7.3-Evidences\04_Data_Integrity_and_Email_Testing_Evidence\BSI.IT.6.C7.3_E05_IT BIA Results Review and preparation for DR .msg</t>
        </is>
      </c>
      <c r="C148" s="65" t="inlineStr">
        <is>
          <t>09/15/2025 – Elizabeth Noda</t>
        </is>
      </c>
      <c r="D148" s="65" t="inlineStr">
        <is>
          <t>1822 ACH Express, 1867 FedExport - BSI, 1868 FedImport - BSI, 3299 Imaging101, 4052 Interface Monitor, 3301 MQ Payment Monitor, 1903 OFAC - BSI, 1917 ReconXpert, 1936 Swift Interface - BSI, 1937 T24</t>
        </is>
      </c>
      <c r="E148" s="65" t="inlineStr">
        <is>
          <t>M – Data Integrity Validation Performed by IT DR Team → 1822, 1867, 1868, 3299, 4052, 3301, 1903, 1917, 1936, 1937
N – Applications in Scope Identified → 1822, 1867, 1868, 3299, 4052, 3301, 1903, 1917, 1936, 1937</t>
        </is>
      </c>
      <c r="F148" s="65" t="inlineStr">
        <is>
          <t>Key evidence in section(s): 12. Data Integrity Validation Performed by IT DR Team</t>
        </is>
      </c>
      <c r="G148" s="67" t="inlineStr">
        <is>
          <t>PASS</t>
        </is>
      </c>
    </row>
    <row r="149" ht="46" customHeight="1" s="73">
      <c r="A149" s="69" t="inlineStr">
        <is>
          <t>E07</t>
        </is>
      </c>
      <c r="B149" s="65" t="inlineStr">
        <is>
          <t>BSI.IT.6.C7.3-Evidences\04_Data_Integrity_and_Email_Testing_Evidence\BSI.IT.6.C7.3_E07_DATA INTERITY FILS FROM 111425.msg</t>
        </is>
      </c>
      <c r="C149" s="65" t="inlineStr">
        <is>
          <t>11/15/2025 – Frank Puentes</t>
        </is>
      </c>
      <c r="D149" s="65" t="inlineStr">
        <is>
          <t>3301 MQ Payment Monitor, 1903 OFAC - BSI, 1936 Swift Interface - BSI, 1937 T24</t>
        </is>
      </c>
      <c r="E149" s="65" t="inlineStr">
        <is>
          <t>F – Business Data validation → 3301, 1903, 1936, 1937</t>
        </is>
      </c>
      <c r="F149" s="65" t="inlineStr">
        <is>
          <t>Supporting evidence – see Evidence review entry and tab Application Attribute Testing-1</t>
        </is>
      </c>
      <c r="G149" s="67" t="inlineStr">
        <is>
          <t>PASS</t>
        </is>
      </c>
    </row>
    <row r="150" ht="46" customHeight="1" s="73">
      <c r="A150" s="69" t="inlineStr">
        <is>
          <t>E08</t>
        </is>
      </c>
      <c r="B150" s="65" t="inlineStr">
        <is>
          <t>BSI.IT.6.C7.3-Evidences\04_Data_Integrity_and_Email_Testing_Evidence\BSI.IT.6.C7.3_E08_FILES FROM 111525 DR TEST - DATA COMPARISON FROM 111425.msg</t>
        </is>
      </c>
      <c r="C150" s="65" t="inlineStr">
        <is>
          <t>11/15/2025 – Frank Puentes</t>
        </is>
      </c>
      <c r="D150" s="65" t="inlineStr">
        <is>
          <t>3301 MQ Payment Monitor, 1903 OFAC - BSI, 1936 Swift Interface - BSI, 1937 T24</t>
        </is>
      </c>
      <c r="E150" s="65" t="inlineStr">
        <is>
          <t>F – Business Data validation → 3301, 1903, 1936, 1937
M – Data Integrity Validation Performed by IT DR Team → 3301, 1903, 1936, 1937</t>
        </is>
      </c>
      <c r="F150" s="65" t="inlineStr">
        <is>
          <t>Supporting evidence – see Evidence review entry and tab Application Attribute Testing-1</t>
        </is>
      </c>
      <c r="G150" s="67" t="inlineStr">
        <is>
          <t>PASS</t>
        </is>
      </c>
    </row>
    <row r="151" ht="136" customHeight="1" s="73">
      <c r="A151" s="69" t="inlineStr">
        <is>
          <t>E09</t>
        </is>
      </c>
      <c r="B151" s="65" t="inlineStr">
        <is>
          <t>BSI.IT.6.C7.3-Evidences\04_Data_Integrity_and_Email_Testing_Evidence\BSI.IT.6.C7.3_E09_RE_ Yearly Backup and restore exercise- client back office sign off-ACH,ACH Express, FedExport, FedImport,Imagi.msg</t>
        </is>
      </c>
      <c r="C151" s="65" t="inlineStr">
        <is>
          <t>03/03/2026 – 05/05/2026 – Claudia Romero</t>
        </is>
      </c>
      <c r="D151" s="65" t="inlineStr">
        <is>
          <t>1822 ACH Express, 1867 FedExport - BSI, 1868 FedImport - BSI, 3299 Imaging101, 1937 T24</t>
        </is>
      </c>
      <c r="E151" s="65"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151" s="65" t="inlineStr">
        <is>
          <t>Supporting evidence – see Evidence review entry and tab Application Attribute Testing-1</t>
        </is>
      </c>
      <c r="G151" s="67" t="inlineStr">
        <is>
          <t>PASS</t>
        </is>
      </c>
    </row>
    <row r="152" ht="46" customHeight="1" s="73">
      <c r="A152" s="69" t="inlineStr">
        <is>
          <t>E10</t>
        </is>
      </c>
      <c r="B152" s="65" t="inlineStr">
        <is>
          <t>BSI.IT.6.C7.3-Evidences\04_Data_Integrity_and_Email_Testing_Evidence\BSI.IT.6.C7.3_E10_RE_ Yearly Backup and restore exercise-- re-run- Finance approval-T24-ReconXpert.msg</t>
        </is>
      </c>
      <c r="C152" s="65" t="inlineStr">
        <is>
          <t>03/09/2026 – Lina Acuna</t>
        </is>
      </c>
      <c r="D152" s="65" t="inlineStr">
        <is>
          <t>1917 ReconXpert, 1937 T24</t>
        </is>
      </c>
      <c r="E152" s="65" t="inlineStr">
        <is>
          <t>M – Data Integrity Validation Performed by IT DR Team → 1917, 1937</t>
        </is>
      </c>
      <c r="F152" s="65" t="inlineStr">
        <is>
          <t>Supporting evidence – see Evidence review entry and tab Application Attribute Testing-1</t>
        </is>
      </c>
      <c r="G152" s="67" t="inlineStr">
        <is>
          <t>PASS</t>
        </is>
      </c>
    </row>
    <row r="153" ht="46" customHeight="1" s="73">
      <c r="A153" s="69" t="inlineStr">
        <is>
          <t>E13</t>
        </is>
      </c>
      <c r="B153" s="65" t="inlineStr">
        <is>
          <t>BSI.IT.6.C7.3-Evidences\04_Data_Integrity_and_Email_Testing_Evidence\BSI.IT.6.C7.3_E13_miasx2 T24 environment(s)  miaeod miabed01 refreshed correctly.msg</t>
        </is>
      </c>
      <c r="C153" s="65" t="inlineStr">
        <is>
          <t>11/13/2024 – T24 backup user</t>
        </is>
      </c>
      <c r="D153" s="65" t="inlineStr">
        <is>
          <t>—</t>
        </is>
      </c>
      <c r="E153" s="65" t="inlineStr">
        <is>
          <t>Not referenced by any attribute test – retained for completeness.</t>
        </is>
      </c>
      <c r="F153" s="65" t="inlineStr">
        <is>
          <t>Supporting evidence – see Evidence review entry and tab Application Attribute Testing-1</t>
        </is>
      </c>
      <c r="G153" s="68" t="inlineStr">
        <is>
          <t>N/A – supplemental, not relied on</t>
        </is>
      </c>
    </row>
    <row r="154" ht="148" customHeight="1" s="73">
      <c r="A154" s="69" t="inlineStr">
        <is>
          <t>E16b</t>
        </is>
      </c>
      <c r="B154" s="65" t="inlineStr">
        <is>
          <t>BSI.IT.6.C7.3-Evidences\04_Data_Integrity_and_Email_Testing_Evidence\BSI.IT.6.C7.3_E16b_All Data Integrity Validation Testing-BSI 2025-26.xlsx</t>
        </is>
      </c>
      <c r="C154" s="65" t="inlineStr">
        <is>
          <t>08/2026 – BCiC export sent with attestation request</t>
        </is>
      </c>
      <c r="D154" s="65" t="inlineStr">
        <is>
          <t>1822 ACH Express, 1867 FedExport - BSI, 1868 FedImport - BSI, 3299 Imaging101, 4052 Interface Monitor, 3301 MQ Payment Monitor, 1903 OFAC - BSI, 1917 ReconXpert, 1936 Swift Interface - BSI, 1937 T24</t>
        </is>
      </c>
      <c r="E154" s="65" t="inlineStr">
        <is>
          <t>D – Application Name → 1822, 1867, 1868, 3299, 4052, 3301, 1903, 1917, 1936, 1937
B – IT DR exercise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154" s="65" t="inlineStr">
        <is>
          <t>Supporting evidence – see Evidence review entry and tab Application Attribute Testing-1</t>
        </is>
      </c>
      <c r="G154" s="67" t="inlineStr">
        <is>
          <t>PASS</t>
        </is>
      </c>
    </row>
    <row r="155" s="73"/>
    <row r="156" ht="15.5" customHeight="1" s="73">
      <c r="A156" s="87" t="inlineStr">
        <is>
          <t>Conclusion – all applications in scope (PASS) with evidence references</t>
        </is>
      </c>
    </row>
    <row r="157" ht="26" customHeight="1" s="73">
      <c r="A157" s="62" t="inlineStr">
        <is>
          <t>App ID</t>
        </is>
      </c>
      <c r="B157" s="62" t="inlineStr">
        <is>
          <t>Application</t>
        </is>
      </c>
      <c r="C157" s="62" t="inlineStr">
        <is>
          <t>Business line manager(s)</t>
        </is>
      </c>
      <c r="D157" s="62" t="inlineStr">
        <is>
          <t>Evidence references (click App ID for full detail)</t>
        </is>
      </c>
      <c r="E157" s="62" t="inlineStr">
        <is>
          <t>Attributes tested</t>
        </is>
      </c>
      <c r="F157" s="62" t="inlineStr">
        <is>
          <t>Conclusion</t>
        </is>
      </c>
      <c r="G157" s="62" t="inlineStr">
        <is>
          <t>Control Sample Assessment Result (Pass/Fail)</t>
        </is>
      </c>
    </row>
    <row r="158" ht="124" customHeight="1" s="73">
      <c r="A158" s="70" t="inlineStr">
        <is>
          <t>1822</t>
        </is>
      </c>
      <c r="B158" s="64" t="inlineStr">
        <is>
          <t>ACH Express</t>
        </is>
      </c>
      <c r="C158" s="65" t="inlineStr">
        <is>
          <t>Claudia Romero (Client Back Office)</t>
        </is>
      </c>
      <c r="D158" s="65" t="inlineStr">
        <is>
          <t>BLA01, DMA01, DMA02, MA01, E01, E02, E03, E04, E05, E09, E16b</t>
        </is>
      </c>
      <c r="E158"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58" s="65" t="inlineStr">
        <is>
          <t>PASS – DIV executed and validated (Y/Y/Y) during the 11/15/2025 annual DR exercise, application in scope (MA01), results documented in BCiC/BCMS and approved by business line management (Claudia Romero).</t>
        </is>
      </c>
      <c r="G158" s="67" t="inlineStr">
        <is>
          <t>PASS</t>
        </is>
      </c>
    </row>
    <row r="159" ht="124" customHeight="1" s="73">
      <c r="A159" s="70" t="inlineStr">
        <is>
          <t>1867</t>
        </is>
      </c>
      <c r="B159" s="64" t="inlineStr">
        <is>
          <t>FedExport - BSI</t>
        </is>
      </c>
      <c r="C159" s="65" t="inlineStr">
        <is>
          <t>Claudia Romero (Client Back Office)</t>
        </is>
      </c>
      <c r="D159" s="65" t="inlineStr">
        <is>
          <t>BLA01, DMA01, DMA02, MA01, E01, E02, E03, E04, E05, E09, E16b</t>
        </is>
      </c>
      <c r="E159"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59" s="65" t="inlineStr">
        <is>
          <t>PASS – DIV executed and validated (Y/Y/Y) during the 11/15/2025 annual DR exercise, application in scope (MA01), results documented in BCiC/BCMS and approved by business line management (Claudia Romero).</t>
        </is>
      </c>
      <c r="G159" s="67" t="inlineStr">
        <is>
          <t>PASS</t>
        </is>
      </c>
    </row>
    <row r="160" ht="124" customHeight="1" s="73">
      <c r="A160" s="70" t="inlineStr">
        <is>
          <t>1868</t>
        </is>
      </c>
      <c r="B160" s="64" t="inlineStr">
        <is>
          <t>FedImport - BSI</t>
        </is>
      </c>
      <c r="C160" s="65" t="inlineStr">
        <is>
          <t>Claudia Romero (Client Back Office)</t>
        </is>
      </c>
      <c r="D160" s="65" t="inlineStr">
        <is>
          <t>BLA01, DMA01, DMA02, MA01, E01, E02, E03, E04, E05, E09, E16b</t>
        </is>
      </c>
      <c r="E160"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0" s="65" t="inlineStr">
        <is>
          <t>PASS – DIV executed and validated (Y/Y/Y) during the 11/15/2025 annual DR exercise, application in scope (MA01), results documented in BCiC/BCMS and approved by business line management (Claudia Romero).</t>
        </is>
      </c>
      <c r="G160" s="67" t="inlineStr">
        <is>
          <t>PASS</t>
        </is>
      </c>
    </row>
    <row r="161" ht="124" customHeight="1" s="73">
      <c r="A161" s="70" t="inlineStr">
        <is>
          <t>3299</t>
        </is>
      </c>
      <c r="B161" s="64" t="inlineStr">
        <is>
          <t>Imaging101</t>
        </is>
      </c>
      <c r="C161" s="65" t="inlineStr">
        <is>
          <t>David Marquez (BSA/AML/OFAC Compliance)</t>
        </is>
      </c>
      <c r="D161" s="65" t="inlineStr">
        <is>
          <t>BLA01, BLA02, DMA01, DMA02, DMA05, DMA11, MA01, E01, E02, E03, E04, E05, E09, E16b</t>
        </is>
      </c>
      <c r="E161"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1" s="65" t="inlineStr">
        <is>
          <t>PASS – DIV executed and validated (Y/Y/Y) during the 11/15/2025 annual DR exercise, application in scope (MA01), results documented in BCiC/BCMS and approved by business line management (David Marquez, Claudia Romero, Miguel Orozco, Maria del Cerro Hontanilla).</t>
        </is>
      </c>
      <c r="G161" s="67" t="inlineStr">
        <is>
          <t>PASS</t>
        </is>
      </c>
    </row>
    <row r="162" ht="124" customHeight="1" s="73">
      <c r="A162" s="70" t="inlineStr">
        <is>
          <t>4052</t>
        </is>
      </c>
      <c r="B162" s="64" t="inlineStr">
        <is>
          <t>Interface Monitor</t>
        </is>
      </c>
      <c r="C162" s="65" t="inlineStr">
        <is>
          <t>Michelle Oropesa (Investment Operations)</t>
        </is>
      </c>
      <c r="D162" s="65" t="inlineStr">
        <is>
          <t>BLA04, DMA02, DMA04, MA01, E01, E02, E03, E04, E05, E16b</t>
        </is>
      </c>
      <c r="E162"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2" s="65" t="inlineStr">
        <is>
          <t>PASS – DIV executed and validated (Y/Y/Y) during the 11/15/2025 annual DR exercise, application in scope (MA01), results documented in BCiC/BCMS and approved by business line management (Michelle Oropesa).</t>
        </is>
      </c>
      <c r="G162" s="67" t="inlineStr">
        <is>
          <t>PASS</t>
        </is>
      </c>
    </row>
    <row r="163" ht="124" customHeight="1" s="73">
      <c r="A163" s="70" t="inlineStr">
        <is>
          <t>3301</t>
        </is>
      </c>
      <c r="B163" s="64" t="inlineStr">
        <is>
          <t>MQ Payment Monitor</t>
        </is>
      </c>
      <c r="C163" s="65" t="inlineStr">
        <is>
          <t>Franklin Puentes (Payments &amp; Cash Management)</t>
        </is>
      </c>
      <c r="D163" s="65" t="inlineStr">
        <is>
          <t>BLA03, DMA02, DMA03, MA01, E01, E02, E03, E04, E05, E07, E08, E16b</t>
        </is>
      </c>
      <c r="E163"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3" s="65" t="inlineStr">
        <is>
          <t>PASS – DIV executed and validated (Y/Y/Y) during the 11/15/2025 annual DR exercise, application in scope (MA01), results documented in BCiC/BCMS and approved by business line management (Franklin Puentes).</t>
        </is>
      </c>
      <c r="G163" s="67" t="inlineStr">
        <is>
          <t>PASS</t>
        </is>
      </c>
    </row>
    <row r="164" ht="124" customHeight="1" s="73">
      <c r="A164" s="70" t="inlineStr">
        <is>
          <t>1903</t>
        </is>
      </c>
      <c r="B164" s="64" t="inlineStr">
        <is>
          <t>OFAC - BSI</t>
        </is>
      </c>
      <c r="C164" s="65" t="inlineStr">
        <is>
          <t>David Marquez (BSA/AML/OFAC Compliance)</t>
        </is>
      </c>
      <c r="D164" s="65" t="inlineStr">
        <is>
          <t>BLA02, BLA03, DMA02, DMA03, DMA05, MA01, E01, E02, E03, E04, E05, E07, E08, E16b</t>
        </is>
      </c>
      <c r="E164"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4" s="65" t="inlineStr">
        <is>
          <t>PASS – DIV executed and validated (Y/Y/Y) during the 11/15/2025 annual DR exercise, application in scope (MA01), results documented in BCiC/BCMS and approved by business line management (David Marquez, Franklin Puentes, Maria del Cerro Hontanilla).</t>
        </is>
      </c>
      <c r="G164" s="67" t="inlineStr">
        <is>
          <t>PASS</t>
        </is>
      </c>
    </row>
    <row r="165" ht="124" customHeight="1" s="73">
      <c r="A165" s="70" t="inlineStr">
        <is>
          <t>1917</t>
        </is>
      </c>
      <c r="B165" s="64" t="inlineStr">
        <is>
          <t>ReconXpert</t>
        </is>
      </c>
      <c r="C165" s="65" t="inlineStr">
        <is>
          <t>Sadis Alvarenga Hernandez (Financial Analysis and Control)</t>
        </is>
      </c>
      <c r="D165" s="65" t="inlineStr">
        <is>
          <t>BLA05, BLA06, DMA02, MA01, E01, E02, E03, E04, E05, E10, E16b</t>
        </is>
      </c>
      <c r="E165"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5" s="65" t="inlineStr">
        <is>
          <t>PASS – DIV executed and validated (Y/Y/Y) during the 11/15/2025 annual DR exercise, application in scope (MA01), results documented in BCiC/BCMS and approved by business line management (Sadis Alvarenga Hernandez).</t>
        </is>
      </c>
      <c r="G165" s="67" t="inlineStr">
        <is>
          <t>PASS</t>
        </is>
      </c>
    </row>
    <row r="166" ht="124" customHeight="1" s="73">
      <c r="A166" s="70" t="inlineStr">
        <is>
          <t>1936</t>
        </is>
      </c>
      <c r="B166" s="64" t="inlineStr">
        <is>
          <t>Swift Interface - BSI</t>
        </is>
      </c>
      <c r="C166" s="65" t="inlineStr">
        <is>
          <t>David Marquez (BSA/AML/OFAC Compliance)</t>
        </is>
      </c>
      <c r="D166" s="65" t="inlineStr">
        <is>
          <t>BLA03, BLA04, DMA02, DMA04, MA01, E01, E02, E03, E04, E05, E07, E08, E16b</t>
        </is>
      </c>
      <c r="E166"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6" s="65" t="inlineStr">
        <is>
          <t>PASS – DIV executed and validated (Y/Y/Y) during the 11/15/2025 annual DR exercise, application in scope (MA01), results documented in BCiC/BCMS and approved by business line management (David Marquez, Michelle Oropesa).</t>
        </is>
      </c>
      <c r="G166" s="67" t="inlineStr">
        <is>
          <t>PASS</t>
        </is>
      </c>
    </row>
    <row r="167" ht="124" customHeight="1" s="73">
      <c r="A167" s="70" t="inlineStr">
        <is>
          <t>1937</t>
        </is>
      </c>
      <c r="B167" s="64" t="inlineStr">
        <is>
          <t>T24</t>
        </is>
      </c>
      <c r="C167" s="65" t="inlineStr">
        <is>
          <t>Ricardo Garcia (Active Investment Services; Portfolio Advisory &amp; SAS; Products &amp; Investments Technology; Trading &amp; Capital Markets)</t>
        </is>
      </c>
      <c r="D167" s="65" t="inlineStr">
        <is>
          <t>BLA01, BLA02, BLA03, BLA04, BLA05, BLA06, DMA01, DMA02, DMA03, DMA04, DMA05, DMA06, DMA07, DMA08, DMA09, DMA10, DMA11, DMA12, MA01, E01, E02, E03, E04, E05, E07, E08, E09, E10, E16b</t>
        </is>
      </c>
      <c r="E167"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7" s="65"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67" s="67" t="inlineStr">
        <is>
          <t>PASS</t>
        </is>
      </c>
    </row>
    <row r="168" s="73"/>
    <row r="169" s="73"/>
    <row r="170" s="73"/>
    <row r="171" s="73"/>
    <row r="172" s="73"/>
    <row r="173" s="73"/>
    <row r="174" s="73"/>
    <row r="175" s="73"/>
    <row r="176" s="73"/>
    <row r="177" s="73"/>
    <row r="178" s="73"/>
    <row r="179" s="73"/>
    <row r="180" s="73"/>
    <row r="181" s="73"/>
    <row r="182" s="73"/>
    <row r="183" s="73"/>
    <row r="184" s="73"/>
    <row r="185" s="73"/>
    <row r="186" s="73"/>
    <row r="187" s="73"/>
    <row r="188" s="73"/>
    <row r="189" s="73"/>
    <row r="190" s="73"/>
    <row r="191" s="73"/>
    <row r="192" s="73"/>
    <row r="193" s="73"/>
    <row r="194" s="73"/>
    <row r="195" s="73"/>
    <row r="196" s="73"/>
    <row r="197" s="73"/>
    <row r="198" s="73"/>
    <row r="199" s="73"/>
    <row r="200" s="73"/>
    <row r="201" s="73"/>
    <row r="202" s="73"/>
    <row r="203" s="73"/>
    <row r="204" s="73"/>
    <row r="205" s="73"/>
    <row r="206" s="73"/>
    <row r="207" s="73"/>
    <row r="208" s="73"/>
    <row r="209" s="73"/>
    <row r="210" s="73"/>
    <row r="211" s="73"/>
    <row r="212" s="73"/>
    <row r="213" s="73"/>
    <row r="214" s="73"/>
    <row r="215" s="73"/>
    <row r="216" s="73"/>
    <row r="217" s="73"/>
    <row r="218" s="73"/>
    <row r="219" s="73"/>
    <row r="220" s="73"/>
    <row r="221" s="73"/>
    <row r="222" s="73"/>
    <row r="223" s="73"/>
    <row r="224" s="73"/>
    <row r="225" s="73"/>
    <row r="226" s="73"/>
    <row r="227" s="73"/>
    <row r="228" s="73"/>
    <row r="229" s="73"/>
    <row r="230" s="73"/>
    <row r="231" s="73"/>
    <row r="232" s="73"/>
    <row r="233" s="73"/>
    <row r="234" s="73"/>
    <row r="235" s="73"/>
    <row r="236" s="73"/>
    <row r="237" s="73"/>
    <row r="238" s="73"/>
    <row r="239" s="73"/>
    <row r="240" s="73"/>
    <row r="241" s="73"/>
    <row r="242" s="73"/>
    <row r="243" s="73"/>
    <row r="244" s="73"/>
    <row r="245" s="73"/>
    <row r="246" s="73"/>
    <row r="247" s="73"/>
    <row r="248" s="73"/>
    <row r="249" s="73"/>
    <row r="250" s="73"/>
    <row r="251" s="73"/>
    <row r="252" s="73"/>
    <row r="253" s="73"/>
    <row r="254" s="73"/>
    <row r="255" s="73"/>
    <row r="256" s="73"/>
    <row r="257" s="73"/>
    <row r="258" s="73"/>
    <row r="259" s="73"/>
    <row r="260" s="73"/>
    <row r="261" s="73"/>
    <row r="262" s="73"/>
    <row r="263" s="73"/>
    <row r="264" s="73"/>
    <row r="265" s="73"/>
    <row r="266" s="73"/>
    <row r="267" s="73"/>
    <row r="268" s="73"/>
    <row r="269" s="73"/>
    <row r="270" s="73"/>
    <row r="271" s="73"/>
    <row r="272" s="73"/>
    <row r="273" s="73"/>
    <row r="274" s="73"/>
    <row r="275" s="73"/>
    <row r="276" s="73"/>
    <row r="277" s="73"/>
    <row r="278" s="73"/>
    <row r="279" s="73"/>
  </sheetData>
  <mergeCells count="19">
    <mergeCell ref="A122:G122"/>
    <mergeCell ref="A91:G91"/>
    <mergeCell ref="A62:G62"/>
    <mergeCell ref="A156:G156"/>
    <mergeCell ref="A38:G38"/>
    <mergeCell ref="A58:G58"/>
    <mergeCell ref="A34:G34"/>
    <mergeCell ref="A30:G30"/>
    <mergeCell ref="A82:G82"/>
    <mergeCell ref="A107:G107"/>
    <mergeCell ref="A1:G1"/>
    <mergeCell ref="A70:G70"/>
    <mergeCell ref="A25:G25"/>
    <mergeCell ref="A46:G46"/>
    <mergeCell ref="A66:G66"/>
    <mergeCell ref="A74:G74"/>
    <mergeCell ref="A21:G21"/>
    <mergeCell ref="A50:G50"/>
    <mergeCell ref="A42:G42"/>
  </mergeCells>
  <hyperlinks>
    <hyperlink ref="B3" location="'Application Attribute Testing'!A21" display="Application Name"/>
    <hyperlink ref="B4" location="'Application Attribute Testing'!A25" display="IT DR exercise name"/>
    <hyperlink ref="B5" location="'Application Attribute Testing-1'!C2" display="IT DR exercise name, was the excercise annually executed?"/>
    <hyperlink ref="B6" location="'Application Attribute Testing'!A30" display="Business Tester"/>
    <hyperlink ref="B7" location="'Application Attribute Testing'!A34" display="Business Data validation"/>
    <hyperlink ref="B8" location="'Application Attribute Testing'!A38" display="Business line manager name"/>
    <hyperlink ref="B9" location="'Application Attribute Testing'!A42" display="Business line manager approval dates"/>
    <hyperlink ref="B10" location="'Application Attribute Testing'!A46" display="DIV Test procedures listed within the Test results document"/>
    <hyperlink ref="B11" location="'Application Attribute Testing'!A50" display="Emails showing Business line manager approval of DIV testing results"/>
    <hyperlink ref="B12" location="'Application Attribute Testing'!A58" display="All evidence of Data Integrity DR test in BCIC"/>
    <hyperlink ref="B13" location="'Application Attribute Testing'!A62" display="Annual Testing Executed"/>
    <hyperlink ref="B14" location="'Application Attribute Testing'!A66" display="Data Integrity Validation Performed by IT DR Team"/>
    <hyperlink ref="B15" location="'Application Attribute Testing'!A70" display="Applications in Scope Identified"/>
    <hyperlink ref="B16" location="'Application Attribute Testing'!A74" display="Business Line Approval of Results"/>
    <hyperlink ref="B17" location="'Application Attribute Testing'!A82" display="Evidence review – original reference information (folders 01–04)"/>
    <hyperlink ref="B18" location="'Application Attribute Testing'!A122" display="Evidence reference table – evidence number → attribute tests"/>
    <hyperlink ref="B19" location="'Application Attribute Testing'!A156" display="Conclusion – all applications in scope (PASS) with evidence references"/>
    <hyperlink ref="A23" location="'Application Attribute Testing'!A109" display="MA01"/>
    <hyperlink ref="A27" location="'Application Attribute Testing'!A110" display="E01"/>
    <hyperlink ref="A32" location="'Application Attribute Testing'!A112" display="E03"/>
    <hyperlink ref="A36" location="'Application Attribute Testing'!A112" display="E03"/>
    <hyperlink ref="A40" location="'Application Attribute Testing'!A112" display="E03"/>
    <hyperlink ref="A44" location="'Application Attribute Testing'!A112" display="E03"/>
    <hyperlink ref="A48" location="'Application Attribute Testing'!A112" display="E03"/>
    <hyperlink ref="A52" location="'Application Attribute Testing'!A89" display="BLA06"/>
    <hyperlink ref="A53" location="'Application Attribute Testing'!A93" display="DMA01"/>
    <hyperlink ref="A54" location="'Application Attribute Testing'!A94" display="DMA02"/>
    <hyperlink ref="A55" location="'Application Attribute Testing'!A95" display="DMA03"/>
    <hyperlink ref="A56" location="'Application Attribute Testing'!A96" display="DMA04"/>
    <hyperlink ref="A60" location="'Application Attribute Testing'!A112" display="E03"/>
    <hyperlink ref="A64" location="'Application Attribute Testing'!A110" display="E01"/>
    <hyperlink ref="A68" location="'Application Attribute Testing'!A114" display="E05"/>
    <hyperlink ref="A72" location="'Application Attribute Testing'!A109" display="MA01"/>
    <hyperlink ref="A76" location="'Application Attribute Testing'!A89" display="BLA06"/>
    <hyperlink ref="A77" location="'Application Attribute Testing'!A93" display="DMA01"/>
    <hyperlink ref="A78" location="'Application Attribute Testing'!A94" display="DMA02"/>
    <hyperlink ref="A79" location="'Application Attribute Testing'!A95" display="DMA03"/>
    <hyperlink ref="A80" location="'Application Attribute Testing'!A96" display="DMA04"/>
    <hyperlink ref="A124" location="'Application Attribute Testing'!A84" display="BLA01"/>
    <hyperlink ref="A125" location="'Application Attribute Testing'!A85" display="BLA02"/>
    <hyperlink ref="A126" location="'Application Attribute Testing'!A86" display="BLA03"/>
    <hyperlink ref="A127" location="'Application Attribute Testing'!A87" display="BLA04"/>
    <hyperlink ref="A128" location="'Application Attribute Testing'!A88" display="BLA05"/>
    <hyperlink ref="A129" location="'Application Attribute Testing'!A89" display="BLA06"/>
    <hyperlink ref="A130" location="'Application Attribute Testing'!A93" display="DMA01"/>
    <hyperlink ref="A131" location="'Application Attribute Testing'!A94" display="DMA02"/>
    <hyperlink ref="A132" location="'Application Attribute Testing'!A95" display="DMA03"/>
    <hyperlink ref="A133" location="'Application Attribute Testing'!A96" display="DMA04"/>
    <hyperlink ref="A134" location="'Application Attribute Testing'!A97" display="DMA05"/>
    <hyperlink ref="A135" location="'Application Attribute Testing'!A98" display="DMA06"/>
    <hyperlink ref="A136" location="'Application Attribute Testing'!A99" display="DMA07"/>
    <hyperlink ref="A137" location="'Application Attribute Testing'!A100" display="DMA08"/>
    <hyperlink ref="A138" location="'Application Attribute Testing'!A101" display="DMA09"/>
    <hyperlink ref="A139" location="'Application Attribute Testing'!A102" display="DMA10"/>
    <hyperlink ref="A140" location="'Application Attribute Testing'!A103" display="DMA11"/>
    <hyperlink ref="A141" location="'Application Attribute Testing'!A104" display="DMA12"/>
    <hyperlink ref="A142" location="'Application Attribute Testing'!A105" display="DMA13"/>
    <hyperlink ref="A143" location="'Application Attribute Testing'!A109" display="MA01"/>
    <hyperlink ref="A144" location="'Application Attribute Testing'!A110" display="E01"/>
    <hyperlink ref="A145" location="'Application Attribute Testing'!A111" display="E02"/>
    <hyperlink ref="A146" location="'Application Attribute Testing'!A112" display="E03"/>
    <hyperlink ref="A147" location="'Application Attribute Testing'!A113" display="E04"/>
    <hyperlink ref="A148" location="'Application Attribute Testing'!A114" display="E05"/>
    <hyperlink ref="A149" location="'Application Attribute Testing'!A115" display="E07"/>
    <hyperlink ref="A150" location="'Application Attribute Testing'!A116" display="E08"/>
    <hyperlink ref="A151" location="'Application Attribute Testing'!A117" display="E09"/>
    <hyperlink ref="A152" location="'Application Attribute Testing'!A118" display="E10"/>
    <hyperlink ref="A153" location="'Application Attribute Testing'!A119" display="E13"/>
    <hyperlink ref="A154" location="'Application Attribute Testing'!A120" display="E16b"/>
    <hyperlink ref="A158" location="'Application Attribute Testing-1'!A3" display="1822"/>
    <hyperlink ref="B158" location="'Application Attribute Testing-1'!A3" display="ACH Express"/>
    <hyperlink ref="A159" location="'Application Attribute Testing-1'!A4" display="1867"/>
    <hyperlink ref="B159" location="'Application Attribute Testing-1'!A4" display="FedExport - BSI"/>
    <hyperlink ref="A160" location="'Application Attribute Testing-1'!A5" display="1868"/>
    <hyperlink ref="B160" location="'Application Attribute Testing-1'!A5" display="FedImport - BSI"/>
    <hyperlink ref="A161" location="'Application Attribute Testing-1'!A6" display="3299"/>
    <hyperlink ref="B161" location="'Application Attribute Testing-1'!A6" display="Imaging101"/>
    <hyperlink ref="A162" location="'Application Attribute Testing-1'!A7" display="4052"/>
    <hyperlink ref="B162" location="'Application Attribute Testing-1'!A7" display="Interface Monitor"/>
    <hyperlink ref="A163" location="'Application Attribute Testing-1'!A8" display="3301"/>
    <hyperlink ref="B163" location="'Application Attribute Testing-1'!A8" display="MQ Payment Monitor"/>
    <hyperlink ref="A164" location="'Application Attribute Testing-1'!A9" display="1903"/>
    <hyperlink ref="B164" location="'Application Attribute Testing-1'!A9" display="OFAC - BSI"/>
    <hyperlink ref="A165" location="'Application Attribute Testing-1'!A10" display="1917"/>
    <hyperlink ref="B165" location="'Application Attribute Testing-1'!A10" display="ReconXpert"/>
    <hyperlink ref="A166" location="'Application Attribute Testing-1'!A11" display="1936"/>
    <hyperlink ref="B166" location="'Application Attribute Testing-1'!A11" display="Swift Interface - BSI"/>
    <hyperlink ref="A167" location="'Application Attribute Testing-1'!A12" display="1937"/>
    <hyperlink ref="B167" location="'Application Attribute Testing-1'!A12" display="T24"/>
  </hyperlink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3"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3"/>
    <row r="4" ht="60" customHeight="1" s="73">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73">
      <c r="A5" s="25" t="n">
        <v>1822</v>
      </c>
      <c r="B5" s="25"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5"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5"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5"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5"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5"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5"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5"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5"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5"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5"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5" t="inlineStr">
        <is>
          <t>PASS – with observations – MA01, BLA01, DMA01, DMA02, E01, E02, E03, E04, E05, E09, E16b</t>
        </is>
      </c>
    </row>
    <row r="6" ht="409" customHeight="1" s="73">
      <c r="A6" s="25" t="n">
        <v>1867</v>
      </c>
      <c r="B6" s="25"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5"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5"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5"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5"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5"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5"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5"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5"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5"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5"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5" t="inlineStr">
        <is>
          <t>PASS – with observations – MA01, BLA01, DMA01, DMA02, E01, E02, E03, E04, E05, E09, E16b</t>
        </is>
      </c>
    </row>
    <row r="7" ht="409" customHeight="1" s="73">
      <c r="A7" s="25" t="n">
        <v>1868</v>
      </c>
      <c r="B7" s="25"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5"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5"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5"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5"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5"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5"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5"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5"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5"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5"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5" t="inlineStr">
        <is>
          <t>PASS – with observations – MA01, BLA01, DMA01, DMA02, E01, E02, E03, E04, E05, E09, E16b</t>
        </is>
      </c>
    </row>
    <row r="8" ht="409" customHeight="1" s="73">
      <c r="A8" s="25" t="n">
        <v>3299</v>
      </c>
      <c r="B8" s="25"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5"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5"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5"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5"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5"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5"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5"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5"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5"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5"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5"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5" t="inlineStr">
        <is>
          <t>PASS – with observations – MA01, BLA01, BLA02, DMA01, DMA02, DMA05, DMA11, E01, E02, E03, E04, E05, E09, E16b</t>
        </is>
      </c>
    </row>
    <row r="9" ht="409" customHeight="1" s="73">
      <c r="A9" s="25" t="n">
        <v>4052</v>
      </c>
      <c r="B9" s="25"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5"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5"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5"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5"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5"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5"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5"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5"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5"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5"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5"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5" t="inlineStr">
        <is>
          <t>PASS – with observations – MA01, BLA04, DMA02, DMA04, E01, E02, E03, E04, E05, E16b</t>
        </is>
      </c>
    </row>
    <row r="10" ht="409" customHeight="1" s="73">
      <c r="A10" s="25" t="n">
        <v>3301</v>
      </c>
      <c r="B10" s="25"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5"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5"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5"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5"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5"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5"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5"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5"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5"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5" t="inlineStr">
        <is>
          <t>PASS – with observations – MA01, BLA03, DMA02, DMA03, E01, E02, E03, E04, E05, E07, E08, E16b</t>
        </is>
      </c>
    </row>
    <row r="11" ht="409" customHeight="1" s="73">
      <c r="A11" s="25" t="n">
        <v>1903</v>
      </c>
      <c r="B11" s="25"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5"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5"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5"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5"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5"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5"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5"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5"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5"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5"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5"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5"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5"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5" t="inlineStr">
        <is>
          <t>PASS – with observations – MA01, BLA02, BLA03, DMA02, DMA03, DMA05, E01, E02, E03, E04, E05, E07, E08, E16b</t>
        </is>
      </c>
    </row>
    <row r="12" ht="409" customHeight="1" s="73">
      <c r="A12" s="25" t="n">
        <v>1917</v>
      </c>
      <c r="B12" s="25"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5"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5"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5"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5"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5"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5"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5"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5"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5"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5"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5"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5" t="inlineStr">
        <is>
          <t>PASS – with observations – MA01, BLA05, BLA06, DMA02, E01, E02, E03, E04, E05, E10, E16b</t>
        </is>
      </c>
    </row>
    <row r="13" ht="409" customHeight="1" s="73">
      <c r="A13" s="25" t="n">
        <v>1936</v>
      </c>
      <c r="B13" s="25"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5"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5"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5"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5"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5"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5"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5"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5"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5"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5"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5"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5" t="inlineStr">
        <is>
          <t>PASS – with observations – MA01, BLA03, BLA04, DMA02, DMA04, E01, E02, E03, E04, E05, E07, E08, E16b</t>
        </is>
      </c>
    </row>
    <row r="14" ht="409" customHeight="1" s="73">
      <c r="A14" s="25" t="n">
        <v>1937</v>
      </c>
      <c r="B14" s="25"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5"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5"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5"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5"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5"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5"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5"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5"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5"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5" t="inlineStr">
        <is>
          <t>PASS – with observations – MA01, BLA01, BLA02, BLA03, BLA04, BLA05, BLA06, DMA01, DMA02, DMA03, DMA04, DMA05, DMA06, DMA07, DMA08, DMA09, DMA10, DMA11, DMA12, E01, E02, E03, E04, E05, E07, E08, E09, E10, E16b</t>
        </is>
      </c>
    </row>
    <row r="15"/>
    <row r="16" ht="15.5" customHeight="1" s="73">
      <c r="A16" s="26" t="inlineStr">
        <is>
          <t>Observations noted while mapping evidence (see Application + Attribute Testing tab – Observations section for full detail)</t>
        </is>
      </c>
    </row>
    <row r="17" ht="45" customHeight="1" s="73">
      <c r="A17" t="n">
        <v>1</v>
      </c>
      <c r="B17" s="86"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6"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6" t="inlineStr">
        <is>
          <t>FedExport – BCiC Department Manager Approval Date 06/05/2026 (E03 row 9, E04) vs Claudia Romero "Approved." 05/05/2026 (E09).</t>
        </is>
      </c>
    </row>
    <row r="20" ht="45" customHeight="1" s="73">
      <c r="A20" t="n">
        <v>4</v>
      </c>
      <c r="B20" s="86" t="inlineStr">
        <is>
          <t>BLA02 (BSA/AML/OFAC) test script – DIV Yes/No answer boxes are blank.</t>
        </is>
      </c>
    </row>
    <row r="21" ht="45" customHeight="1" s="73">
      <c r="A21" t="n">
        <v>5</v>
      </c>
      <c r="B21" s="86"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6"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2"/>
    <col width="8.6640625" customWidth="1" style="32" min="13" max="16384"/>
  </cols>
  <sheetData>
    <row r="1" ht="18" customHeight="1" s="73">
      <c r="A1" s="30" t="inlineStr">
        <is>
          <t>BSI.IT.6.C7.3 –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73">
      <c r="A3" s="71" t="inlineStr">
        <is>
          <t>MA01</t>
        </is>
      </c>
      <c r="B3" s="35" t="inlineStr">
        <is>
          <t>MA01_BSI In-Scope Applications-2026.png</t>
        </is>
      </c>
      <c r="C3" s="35" t="inlineStr">
        <is>
          <t>BSI.IT.6.C7.3-Evidences\01_Management_Attestation_In-Scope_Applications</t>
        </is>
      </c>
      <c r="D3" s="35" t="inlineStr">
        <is>
          <t>BSI In-Scope Applications-20206.png</t>
        </is>
      </c>
      <c r="E3" s="35" t="inlineStr">
        <is>
          <t>Management_Attestation.zip</t>
        </is>
      </c>
      <c r="F3" s="35" t="inlineStr">
        <is>
          <t>BCiC screenshot</t>
        </is>
      </c>
      <c r="G3" s="35" t="inlineStr">
        <is>
          <t>09/23/2026 –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73">
      <c r="A4" s="71" t="inlineStr">
        <is>
          <t>BLA01</t>
        </is>
      </c>
      <c r="B4" s="35" t="inlineStr">
        <is>
          <t>BLA01_Client Back Office - FED Inclearing ACH &amp; Cash Letter - DIV Test Results 11-15-2025.pdf</t>
        </is>
      </c>
      <c r="C4" s="35" t="inlineStr">
        <is>
          <t>BSI.IT.6.C7.3-Evidences\02_Business_Line_Approval_Results_Email</t>
        </is>
      </c>
      <c r="D4" s="35" t="inlineStr">
        <is>
          <t>Client Back Office - FED inclearing ACH  Cash letter (1).pdf</t>
        </is>
      </c>
      <c r="E4" s="35" t="inlineStr">
        <is>
          <t>Business Line Approval Results - Email.zip</t>
        </is>
      </c>
      <c r="F4" s="35" t="inlineStr">
        <is>
          <t>DR test script / DIV test results</t>
        </is>
      </c>
      <c r="G4" s="35" t="inlineStr">
        <is>
          <t>11/15/2025 – Client Back Office (operator Raimy Ayala)</t>
        </is>
      </c>
      <c r="H4" s="35" t="inlineStr">
        <is>
          <t>DR test script with Data Integrity Validation section. Application in-scope: FedImport, FedExport, Imaging101, T24. Format / Headers / Content = Y – "No data discrepancy found". Steps include ACH Express import and Imaging101 validation screenshots (14 pages).</t>
        </is>
      </c>
      <c r="I4" s="35" t="inlineStr">
        <is>
          <t>1822, 1867, 1868, 3299, 1937</t>
        </is>
      </c>
      <c r="J4" s="35" t="inlineStr">
        <is>
          <t>B, E, F, I, L, M, O</t>
        </is>
      </c>
      <c r="K4" s="35" t="n"/>
      <c r="L4" s="31" t="n"/>
    </row>
    <row r="5" ht="34.5" customHeight="1" s="73">
      <c r="A5" s="71" t="inlineStr">
        <is>
          <t>BLA02</t>
        </is>
      </c>
      <c r="B5" s="35" t="inlineStr">
        <is>
          <t>BLA02_BSA_AML_OFAC Compliance - OFAC Verifier - DIV Test Results 11-15-2025.pdf</t>
        </is>
      </c>
      <c r="C5" s="35" t="inlineStr">
        <is>
          <t>BSI.IT.6.C7.3-Evidences\02_Business_Line_Approval_Results_Email</t>
        </is>
      </c>
      <c r="D5" s="35" t="inlineStr">
        <is>
          <t>BSA_AML_OFAC Compliance - DM 11.15.2025 (002) (1).pdf</t>
        </is>
      </c>
      <c r="E5" s="35" t="inlineStr">
        <is>
          <t>Business Line Approval Results - Email.zip</t>
        </is>
      </c>
      <c r="F5" s="35" t="inlineStr">
        <is>
          <t>DR test script / DIV test results</t>
        </is>
      </c>
      <c r="G5" s="35" t="inlineStr">
        <is>
          <t>11/15/2025 – BSA/AML/OFAC Compliance (operator David Marquez)</t>
        </is>
      </c>
      <c r="H5" s="35" t="inlineStr">
        <is>
          <t>OFAC Verifier test script. Application in-scope: T24, Imaging101, OFAC. DIV procedure instructions listed; production-day (11/14/2025) vs test-day (11/15/2025) screenshots for T24, Imaging101/ModeloIC and OFAC Report 64. NOTE: DIV Yes/No answer boxes on p.1 are blank.</t>
        </is>
      </c>
      <c r="I5" s="35" t="inlineStr">
        <is>
          <t>3299, 1903, 1937</t>
        </is>
      </c>
      <c r="J5" s="35" t="inlineStr">
        <is>
          <t>B, E, F, I, L, M, O</t>
        </is>
      </c>
      <c r="K5" s="35" t="n"/>
      <c r="L5" s="31" t="n"/>
    </row>
    <row r="6" ht="69" customHeight="1" s="73">
      <c r="A6" s="71" t="inlineStr">
        <is>
          <t>BLA03</t>
        </is>
      </c>
      <c r="B6" s="35" t="inlineStr">
        <is>
          <t>BLA03_Payments &amp; Cash Management - Payments Script - DIV Test Results 11-15-2025.pdf</t>
        </is>
      </c>
      <c r="C6" s="35" t="inlineStr">
        <is>
          <t>BSI.IT.6.C7.3-Evidences\02_Business_Line_Approval_Results_Email</t>
        </is>
      </c>
      <c r="D6" s="35" t="inlineStr">
        <is>
          <t>PAYMENTS SCRIPT NOV 2025.pdf</t>
        </is>
      </c>
      <c r="E6" s="35" t="inlineStr">
        <is>
          <t>Business Line Approval Results - Email.zip</t>
        </is>
      </c>
      <c r="F6" s="35" t="inlineStr">
        <is>
          <t>DR test script / DIV test results</t>
        </is>
      </c>
      <c r="G6" s="35" t="inlineStr">
        <is>
          <t>11/15/2025 –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73">
      <c r="A7" s="71" t="inlineStr">
        <is>
          <t>BLA04</t>
        </is>
      </c>
      <c r="B7" s="35" t="inlineStr">
        <is>
          <t>BLA04_Investment Operations - Treasury Hub &amp; Derivatives Operations - DIV Test Results 11-15-2025.docx</t>
        </is>
      </c>
      <c r="C7" s="35" t="inlineStr">
        <is>
          <t>BSI.IT.6.C7.3-Evidences\02_Business_Line_Approval_Results_Email</t>
        </is>
      </c>
      <c r="D7" s="35" t="inlineStr">
        <is>
          <t>Investment Operations- Treasury Hub &amp; Derivatives Operations (1).docx</t>
        </is>
      </c>
      <c r="E7" s="35" t="inlineStr">
        <is>
          <t>Business Line Approval Results - Email.zip</t>
        </is>
      </c>
      <c r="F7" s="35" t="inlineStr">
        <is>
          <t>DR test script / DIV test results</t>
        </is>
      </c>
      <c r="G7" s="35" t="inlineStr">
        <is>
          <t>11/15/2025 –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vs 11/15; Format / Headers / Content = Yes.</t>
        </is>
      </c>
      <c r="I7" s="35" t="inlineStr">
        <is>
          <t>4052, 1936, 1937</t>
        </is>
      </c>
      <c r="J7" s="35" t="inlineStr">
        <is>
          <t>B, E, F, I, L, M, O</t>
        </is>
      </c>
      <c r="K7" s="35" t="n"/>
      <c r="L7" s="31" t="n"/>
    </row>
    <row r="8" ht="23" customHeight="1" s="73">
      <c r="A8" s="71" t="inlineStr">
        <is>
          <t>BLA05</t>
        </is>
      </c>
      <c r="B8" s="35" t="inlineStr">
        <is>
          <t>BLA05_Financial Analysis and Control - GL ReconXpert - DIV Test Results 11-15-2025.pdf</t>
        </is>
      </c>
      <c r="C8" s="35" t="inlineStr">
        <is>
          <t>BSI.IT.6.C7.3-Evidences\02_Business_Line_Approval_Results_Email</t>
        </is>
      </c>
      <c r="D8" s="35" t="inlineStr">
        <is>
          <t>Financial Analysis and Control-GL (1).pdf</t>
        </is>
      </c>
      <c r="E8" s="35" t="inlineStr">
        <is>
          <t>Business Line Approval Results - Email.zip</t>
        </is>
      </c>
      <c r="F8" s="35" t="inlineStr">
        <is>
          <t>DR test script / DIV test results</t>
        </is>
      </c>
      <c r="G8" s="35" t="inlineStr">
        <is>
          <t>11/15/2025 –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73">
      <c r="A9" s="71" t="inlineStr">
        <is>
          <t>BLA06</t>
        </is>
      </c>
      <c r="B9" s="35" t="inlineStr">
        <is>
          <t>BLA06_RE_ Testing enviroment - Financial Analysis Manager Approval - Sadis Alvarenga 01-26-2026.msg</t>
        </is>
      </c>
      <c r="C9" s="35" t="inlineStr">
        <is>
          <t>BSI.IT.6.C7.3-Evidences\02_Business_Line_Approval_Results_Email</t>
        </is>
      </c>
      <c r="D9" s="35" t="inlineStr">
        <is>
          <t>RE_ Testing enviroment.msg</t>
        </is>
      </c>
      <c r="E9" s="35" t="inlineStr">
        <is>
          <t>Business Line Approval Results - Email.zip</t>
        </is>
      </c>
      <c r="F9" s="35" t="inlineStr">
        <is>
          <t>Email approval</t>
        </is>
      </c>
      <c r="G9" s="35" t="inlineStr">
        <is>
          <t>12/31/2025 &amp; 01/26/2026 –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73">
      <c r="A10" s="71" t="inlineStr">
        <is>
          <t>DMA01</t>
        </is>
      </c>
      <c r="B10" s="35" t="inlineStr">
        <is>
          <t>DMA01_RE_ Management Attestation – DIV – Client Back Office - Claudia Romero 08-18-2026.msg</t>
        </is>
      </c>
      <c r="C10" s="35" t="inlineStr">
        <is>
          <t>BSI.IT.6.C7.3-Evidences\03_DIV_Manager_Attestation_Email_Approvals</t>
        </is>
      </c>
      <c r="D10" s="35" t="inlineStr">
        <is>
          <t>RE_ Management Attestation – DIV Client Back Office.msg</t>
        </is>
      </c>
      <c r="E10" s="35" t="inlineStr">
        <is>
          <t>DIV Manager Attestation Email_Approvals.zip</t>
        </is>
      </c>
      <c r="F10" s="35" t="inlineStr">
        <is>
          <t>Email attestation</t>
        </is>
      </c>
      <c r="G10" s="35" t="inlineStr">
        <is>
          <t>08/18/2026 – Claudia Romero</t>
        </is>
      </c>
      <c r="H10" s="35" t="inlineStr">
        <is>
          <t>Claudia Romero (Client Back Office Manager VP) returns the signed Management Attestation – attachment: Data_Integrity_Attestation_Santander-BCiC (002).pdf (signed Claudia Romero).</t>
        </is>
      </c>
      <c r="I10" s="35" t="inlineStr">
        <is>
          <t>1822, 1867, 1868, 3299, 1937</t>
        </is>
      </c>
      <c r="J10" s="35" t="inlineStr">
        <is>
          <t>G, H, J, O</t>
        </is>
      </c>
      <c r="K10" s="35" t="n"/>
      <c r="L10" s="31" t="n"/>
    </row>
    <row r="11" ht="23" customHeight="1" s="73">
      <c r="A11" s="71" t="inlineStr">
        <is>
          <t>DMA02</t>
        </is>
      </c>
      <c r="B11" s="35" t="inlineStr">
        <is>
          <t>DMA02_RE_ Management Attestation – DIV – BSA-AML-OFAC Compliance - David Marquez 08-19-2026.msg</t>
        </is>
      </c>
      <c r="C11" s="35" t="inlineStr">
        <is>
          <t>BSI.IT.6.C7.3-Evidences\03_DIV_Manager_Attestation_Email_Approvals</t>
        </is>
      </c>
      <c r="D11" s="35" t="inlineStr">
        <is>
          <t>RE_ Management Attestation – OFAC.msg</t>
        </is>
      </c>
      <c r="E11" s="35" t="inlineStr">
        <is>
          <t>DIV Manager Attestation Email_Approvals.zip</t>
        </is>
      </c>
      <c r="F11" s="35" t="inlineStr">
        <is>
          <t>Email attestation</t>
        </is>
      </c>
      <c r="G11" s="35" t="inlineStr">
        <is>
          <t>08/19/2026 – David Marquez</t>
        </is>
      </c>
      <c r="H11" s="3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35" t="inlineStr">
        <is>
          <t>1822, 1867, 1868, 3299, 4052, 3301, 1903, 1917, 1936, 1937</t>
        </is>
      </c>
      <c r="J11" s="35" t="inlineStr">
        <is>
          <t>B, C, G, H, J, L, M, N, O, P</t>
        </is>
      </c>
      <c r="K11" s="35" t="n"/>
      <c r="L11" s="31" t="n"/>
    </row>
    <row r="12" ht="34.5" customHeight="1" s="73">
      <c r="A12" s="71" t="inlineStr">
        <is>
          <t>DMA03</t>
        </is>
      </c>
      <c r="B12" s="35" t="inlineStr">
        <is>
          <t>DMA03_RE_ Management Attestation – DIV – Payments &amp; Cash Management - Frank Puentes 08-18-2026.msg</t>
        </is>
      </c>
      <c r="C12" s="35" t="inlineStr">
        <is>
          <t>BSI.IT.6.C7.3-Evidences\03_DIV_Manager_Attestation_Email_Approvals</t>
        </is>
      </c>
      <c r="D12" s="35" t="inlineStr">
        <is>
          <t>Management Attestation – DIV Payment &amp; Cash Management.msg</t>
        </is>
      </c>
      <c r="E12" s="35" t="inlineStr">
        <is>
          <t>DIV Manager Attestation Email_Approvals.zip</t>
        </is>
      </c>
      <c r="F12" s="35" t="inlineStr">
        <is>
          <t>Email attestation</t>
        </is>
      </c>
      <c r="G12" s="35" t="inlineStr">
        <is>
          <t>08/18/2026 – Frank Puentes</t>
        </is>
      </c>
      <c r="H12" s="35" t="inlineStr">
        <is>
          <t>Frank Puentes returns the signed attestation – attachment: 4069_001.pdf (scan, signed Executive Director, Payments &amp; Cash Management, 8/18/2026).</t>
        </is>
      </c>
      <c r="I12" s="35" t="inlineStr">
        <is>
          <t>3301, 1903, 1937</t>
        </is>
      </c>
      <c r="J12" s="35" t="inlineStr">
        <is>
          <t>G, H, J, O</t>
        </is>
      </c>
      <c r="K12" s="35" t="n"/>
      <c r="L12" s="31" t="n"/>
    </row>
    <row r="13" ht="34.5" customHeight="1" s="73">
      <c r="A13" s="71" t="inlineStr">
        <is>
          <t>DMA04</t>
        </is>
      </c>
      <c r="B13" s="35" t="inlineStr">
        <is>
          <t>DMA04_RE_ Management Attestation – DIV – Investment Operations - Michelle Oropesa 08-17-2026.msg</t>
        </is>
      </c>
      <c r="C13" s="35" t="inlineStr">
        <is>
          <t>BSI.IT.6.C7.3-Evidences\03_DIV_Manager_Attestation_Email_Approvals</t>
        </is>
      </c>
      <c r="D13" s="35" t="inlineStr">
        <is>
          <t>RE_ Management Attestation – DIV Investment Operations.msg</t>
        </is>
      </c>
      <c r="E13" s="35" t="inlineStr">
        <is>
          <t>DIV Manager Attestation Email_Approvals.zip</t>
        </is>
      </c>
      <c r="F13" s="35" t="inlineStr">
        <is>
          <t>Email attestation</t>
        </is>
      </c>
      <c r="G13" s="35" t="inlineStr">
        <is>
          <t>08/17/2026 – Michelle Oropesa</t>
        </is>
      </c>
      <c r="H13" s="35" t="inlineStr">
        <is>
          <t>Michelle Oropesa (Investment Operations Director) returns the signed attestation – attachment: Data_Integrity_Attestation_Santander-BCiC.pdf (signed Investment Operations Director, VP, 8/17/2026).</t>
        </is>
      </c>
      <c r="I13" s="35" t="inlineStr">
        <is>
          <t>4052, 1936, 1937</t>
        </is>
      </c>
      <c r="J13" s="35" t="inlineStr">
        <is>
          <t>G, H, J, O</t>
        </is>
      </c>
      <c r="K13" s="35" t="n"/>
      <c r="L13" s="31" t="n"/>
    </row>
    <row r="14" ht="34.5" customHeight="1" s="73">
      <c r="A14" s="71" t="inlineStr">
        <is>
          <t>DMA05</t>
        </is>
      </c>
      <c r="B14" s="35" t="inlineStr">
        <is>
          <t>DMA05_RE_ Management Attestation – DIV – Operations (Governance &amp; Static Data, Multi-Family Office) - Maria Teresa Del Cerro 08-19-2026.msg</t>
        </is>
      </c>
      <c r="C14" s="35" t="inlineStr">
        <is>
          <t>BSI.IT.6.C7.3-Evidences\03_DIV_Manager_Attestation_Email_Approvals</t>
        </is>
      </c>
      <c r="D14" s="35" t="inlineStr">
        <is>
          <t>RE_ Management Attestation – DIV Operations.msg</t>
        </is>
      </c>
      <c r="E14" s="35" t="inlineStr">
        <is>
          <t>DIV Manager Attestation Email_Approvals.zip</t>
        </is>
      </c>
      <c r="F14" s="35" t="inlineStr">
        <is>
          <t>Email attestation</t>
        </is>
      </c>
      <c r="G14" s="35" t="inlineStr">
        <is>
          <t>08/19/2026 – Maria Teresa (Mayte) Del Cerro</t>
        </is>
      </c>
      <c r="H14" s="35" t="inlineStr">
        <is>
          <t>Senior Director of Operations returns the signed attestation –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73">
      <c r="A15" s="71" t="inlineStr">
        <is>
          <t>DMA06</t>
        </is>
      </c>
      <c r="B15" s="35" t="inlineStr">
        <is>
          <t>DMA06_RE_ Management Attestation – DIV – Trading &amp; Capital Markets (AIS, Portfolio Advisory, P&amp;I Tech) - Ricardo Garcia-Marques 08-18-2026.msg</t>
        </is>
      </c>
      <c r="C15" s="35" t="inlineStr">
        <is>
          <t>BSI.IT.6.C7.3-Evidences\03_DIV_Manager_Attestation_Email_Approvals</t>
        </is>
      </c>
      <c r="D15" s="35" t="inlineStr">
        <is>
          <t>RE_ Management Attestation – DIV Trading and Capital Markets.msg</t>
        </is>
      </c>
      <c r="E15" s="35" t="inlineStr">
        <is>
          <t>DIV Manager Attestation Email_Approvals.zip</t>
        </is>
      </c>
      <c r="F15" s="35" t="inlineStr">
        <is>
          <t>Email attestation</t>
        </is>
      </c>
      <c r="G15" s="35" t="inlineStr">
        <is>
          <t>08/18/2026 – Ricardo Garcia-Marques</t>
        </is>
      </c>
      <c r="H15" s="35" t="inlineStr">
        <is>
          <t>Attestation and approval from Trading &amp; Capital Markets (covers BCiC records approved by Ricardo Garcia) – attachment: Data_Integrity_Attestation_Santander-BCiC_signed.pdf (e-signed MD, Head of Trading &amp; Capital Markets, 08/18/2026 11:45 AM EDT).</t>
        </is>
      </c>
      <c r="I15" s="35" t="inlineStr">
        <is>
          <t>1937</t>
        </is>
      </c>
      <c r="J15" s="35" t="inlineStr">
        <is>
          <t>G, H, J, O</t>
        </is>
      </c>
      <c r="K15" s="35" t="n"/>
      <c r="L15" s="31" t="n"/>
    </row>
    <row r="16" ht="23" customHeight="1" s="73">
      <c r="A16" s="71" t="inlineStr">
        <is>
          <t>DMA07</t>
        </is>
      </c>
      <c r="B16" s="35" t="inlineStr">
        <is>
          <t>DMA07_RE_ Management Attestation – DIV – Treasury &amp; Capital Planning - Martha Sullivan 08-18-2026.msg</t>
        </is>
      </c>
      <c r="C16" s="35" t="inlineStr">
        <is>
          <t>BSI.IT.6.C7.3-Evidences\03_DIV_Manager_Attestation_Email_Approvals</t>
        </is>
      </c>
      <c r="D16" s="35" t="inlineStr">
        <is>
          <t>RE_ Management Attestation – DIV Treasury and Capital Planning.msg</t>
        </is>
      </c>
      <c r="E16" s="35" t="inlineStr">
        <is>
          <t>DIV Manager Attestation Email_Approvals.zip</t>
        </is>
      </c>
      <c r="F16" s="35" t="inlineStr">
        <is>
          <t>Email attestation</t>
        </is>
      </c>
      <c r="G16" s="35" t="inlineStr">
        <is>
          <t>08/18/2026 – Martha Sullivan</t>
        </is>
      </c>
      <c r="H16" s="35" t="inlineStr">
        <is>
          <t>Martha Sullivan returns the signed attestation – attachment: Data_Integrity_Attestation_Santander-BCiC.pdf (signed Balance Sheet Manager, Treasury).</t>
        </is>
      </c>
      <c r="I16" s="35" t="inlineStr">
        <is>
          <t>1937</t>
        </is>
      </c>
      <c r="J16" s="35" t="inlineStr">
        <is>
          <t>G, H, J, O</t>
        </is>
      </c>
      <c r="K16" s="35" t="n"/>
      <c r="L16" s="31" t="n"/>
    </row>
    <row r="17" ht="23" customHeight="1" s="73">
      <c r="A17" s="71" t="inlineStr">
        <is>
          <t>DMA08</t>
        </is>
      </c>
      <c r="B17" s="35" t="inlineStr">
        <is>
          <t>DMA08_RE_ Management Attestation – DIV – Solvency &amp; Market Risk (Financial Risk) - Ivan Caisapanta 08-18-2026.msg</t>
        </is>
      </c>
      <c r="C17" s="35" t="inlineStr">
        <is>
          <t>BSI.IT.6.C7.3-Evidences\03_DIV_Manager_Attestation_Email_Approvals</t>
        </is>
      </c>
      <c r="D17" s="35" t="inlineStr">
        <is>
          <t>RE_ Management Attestation – DIV Solvency and Market Risk.msg</t>
        </is>
      </c>
      <c r="E17" s="35" t="inlineStr">
        <is>
          <t>DIV Manager Attestation Email_Approvals.zip</t>
        </is>
      </c>
      <c r="F17" s="35" t="inlineStr">
        <is>
          <t>Email approval</t>
        </is>
      </c>
      <c r="G17" s="35" t="inlineStr">
        <is>
          <t>08/18/2026 – Ivan Caisapanta</t>
        </is>
      </c>
      <c r="H17" s="35" t="inlineStr">
        <is>
          <t>"Hi Elizabeth, You have my approval" – Financial Risk (BCiC Department Manager recorded as Xavier Caisapanta).</t>
        </is>
      </c>
      <c r="I17" s="35" t="inlineStr">
        <is>
          <t>1937</t>
        </is>
      </c>
      <c r="J17" s="35" t="inlineStr">
        <is>
          <t>G, H, J, O</t>
        </is>
      </c>
      <c r="K17" s="35" t="n"/>
      <c r="L17" s="31" t="n"/>
    </row>
    <row r="18" ht="23" customHeight="1" s="73">
      <c r="A18" s="71" t="inlineStr">
        <is>
          <t>DMA09</t>
        </is>
      </c>
      <c r="B18" s="35" t="inlineStr">
        <is>
          <t>DMA09_RE_ Management Attestation – DIV – General Services (Marketing &amp; General Services) - Clara De Castro 08-18-2026.msg</t>
        </is>
      </c>
      <c r="C18" s="35" t="inlineStr">
        <is>
          <t>BSI.IT.6.C7.3-Evidences\03_DIV_Manager_Attestation_Email_Approvals</t>
        </is>
      </c>
      <c r="D18" s="35" t="inlineStr">
        <is>
          <t>RE_ Management Attestation – DIV General Services.msg</t>
        </is>
      </c>
      <c r="E18" s="35" t="inlineStr">
        <is>
          <t>DIV Manager Attestation Email_Approvals.zip</t>
        </is>
      </c>
      <c r="F18" s="35" t="inlineStr">
        <is>
          <t>Email attestation</t>
        </is>
      </c>
      <c r="G18" s="35" t="inlineStr">
        <is>
          <t>08/18/2026 – Clara G. De Castro</t>
        </is>
      </c>
      <c r="H18" s="35" t="inlineStr">
        <is>
          <t>Clara De Castro (Director, General Services &amp; Facilities) returns the signed attestation – attachment: Data_Integrity_Attestation_Santander-BCiC.pdf (signed Clara G. De Castro).</t>
        </is>
      </c>
      <c r="I18" s="35" t="inlineStr">
        <is>
          <t>1937</t>
        </is>
      </c>
      <c r="J18" s="35" t="inlineStr">
        <is>
          <t>G, H, J, O</t>
        </is>
      </c>
      <c r="K18" s="35" t="n"/>
      <c r="L18" s="31" t="n"/>
    </row>
    <row r="19" ht="23" customHeight="1" s="73">
      <c r="A19" s="71" t="inlineStr">
        <is>
          <t>DMA10</t>
        </is>
      </c>
      <c r="B19" s="35" t="inlineStr">
        <is>
          <t>DMA10_RE_ Management Attestation – DIV – Digital Wealth - Victoria Fernandez 08-21-2026.eml</t>
        </is>
      </c>
      <c r="C19" s="35" t="inlineStr">
        <is>
          <t>BSI.IT.6.C7.3-Evidences\03_DIV_Manager_Attestation_Email_Approvals</t>
        </is>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 Victoria Fernandez</t>
        </is>
      </c>
      <c r="H19" s="35" t="inlineStr">
        <is>
          <t>"Approved" – Digital Wealth.</t>
        </is>
      </c>
      <c r="I19" s="35" t="inlineStr">
        <is>
          <t>1937</t>
        </is>
      </c>
      <c r="J19" s="35" t="inlineStr">
        <is>
          <t>G, H, J, O</t>
        </is>
      </c>
      <c r="K19" s="35" t="n"/>
      <c r="L19" s="31" t="n"/>
    </row>
    <row r="20" ht="23" customHeight="1" s="73">
      <c r="A20" s="71" t="inlineStr">
        <is>
          <t>DMA11</t>
        </is>
      </c>
      <c r="B20" s="35" t="inlineStr">
        <is>
          <t>DMA11_RE_ Management Attestation – DIV – Commercial Middle Office - Miguel Orozco 09-09-2026.eml</t>
        </is>
      </c>
      <c r="C20" s="35" t="inlineStr">
        <is>
          <t>BSI.IT.6.C7.3-Evidences\03_DIV_Manager_Attestation_Email_Approvals</t>
        </is>
      </c>
      <c r="D20" s="35" t="inlineStr">
        <is>
          <t>RE Management Attestation – DIV Commercial Middle Office.eml</t>
        </is>
      </c>
      <c r="E20" s="35" t="inlineStr">
        <is>
          <t>DIV Manager Attestation Email_Approvals.zip</t>
        </is>
      </c>
      <c r="F20" s="35" t="inlineStr">
        <is>
          <t>Email approval</t>
        </is>
      </c>
      <c r="G20" s="35" t="inlineStr">
        <is>
          <t>09/09/2026 –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73">
      <c r="A21" s="71" t="inlineStr">
        <is>
          <t>DMA12</t>
        </is>
      </c>
      <c r="B21" s="35" t="inlineStr">
        <is>
          <t>DMA12_RE_ Management Attestation – DIV – Client Servicing Unit - Liliana Vizhnay 09-09-2026.eml</t>
        </is>
      </c>
      <c r="C21" s="35" t="inlineStr">
        <is>
          <t>BSI.IT.6.C7.3-Evidences\03_DIV_Manager_Attestation_Email_Approvals</t>
        </is>
      </c>
      <c r="D21" s="35" t="inlineStr">
        <is>
          <t>RE Management Attestation – DIV Client Servicing Unit.eml</t>
        </is>
      </c>
      <c r="E21" s="35" t="inlineStr">
        <is>
          <t>DIV Manager Attestation Email_Approvals.zip</t>
        </is>
      </c>
      <c r="F21" s="35" t="inlineStr">
        <is>
          <t>Email approval</t>
        </is>
      </c>
      <c r="G21" s="35" t="inlineStr">
        <is>
          <t>09/09/2026 – Liliana Vizhnay</t>
        </is>
      </c>
      <c r="H21" s="35" t="inlineStr">
        <is>
          <t>"I approve." – Client Servicing Unit.</t>
        </is>
      </c>
      <c r="I21" s="35" t="inlineStr">
        <is>
          <t>1937</t>
        </is>
      </c>
      <c r="J21" s="35" t="inlineStr">
        <is>
          <t>G, H, J, O</t>
        </is>
      </c>
      <c r="K21" s="35" t="n"/>
      <c r="L21" s="31" t="n"/>
    </row>
    <row r="22" ht="23" customHeight="1" s="73">
      <c r="A22" s="71" t="inlineStr">
        <is>
          <t>DMA13</t>
        </is>
      </c>
      <c r="B22" s="35" t="inlineStr">
        <is>
          <t>DMA13_RE_ Management Attestation – DIV – IT Unified Communication - Cisco Call Manager - Elizabeth Noda 09-09-2026 (out of scope).eml</t>
        </is>
      </c>
      <c r="C22" s="35" t="inlineStr">
        <is>
          <t>BSI.IT.6.C7.3-Evidences\03_DIV_Manager_Attestation_Email_Approvals</t>
        </is>
      </c>
      <c r="D22" s="35" t="inlineStr">
        <is>
          <t>RE Management Attestation – DIV Unified Communication - Cisco Call Manager.eml</t>
        </is>
      </c>
      <c r="E22" s="35" t="inlineStr">
        <is>
          <t>DIV Manager Attestation Email_Approvals.zip</t>
        </is>
      </c>
      <c r="F22" s="35" t="inlineStr">
        <is>
          <t>Email approval</t>
        </is>
      </c>
      <c r="G22" s="35" t="inlineStr">
        <is>
          <t>09/09/2026 – Elizabeth Noda</t>
        </is>
      </c>
      <c r="H22" s="35" t="inlineStr">
        <is>
          <t>"approve" – Cisco Call Manager (IT). Cisco Call Manager is NOT one of the 10 tested applications – retained for completeness only.</t>
        </is>
      </c>
      <c r="I22" s="35" t="inlineStr">
        <is>
          <t>—</t>
        </is>
      </c>
      <c r="J22" s="35" t="inlineStr">
        <is>
          <t>Supplemental</t>
        </is>
      </c>
      <c r="K22" s="35" t="n"/>
      <c r="L22" s="31" t="n"/>
    </row>
    <row r="23" ht="23" customHeight="1" s="73">
      <c r="A23" s="71" t="inlineStr">
        <is>
          <t>E01</t>
        </is>
      </c>
      <c r="B23" s="35" t="inlineStr">
        <is>
          <t>BSI.IT.6.C7.3_E01_Applications In Scope for DR Test BSI (13).xlsx</t>
        </is>
      </c>
      <c r="C23" s="35" t="inlineStr">
        <is>
          <t>BSI.IT.6.C7.3-Evidences\04_Data_Integrity_and_Email_Testing_Evidence</t>
        </is>
      </c>
      <c r="D23" s="35" t="inlineStr">
        <is>
          <t>Applications In Scope for DR Test BSI (13).xlsx</t>
        </is>
      </c>
      <c r="E23" s="35" t="inlineStr">
        <is>
          <t>Data Integrity &amp; Email Testing Evidence.zip</t>
        </is>
      </c>
      <c r="F23" s="35" t="inlineStr">
        <is>
          <t>BCiC export</t>
        </is>
      </c>
      <c r="G23" s="35" t="inlineStr">
        <is>
          <t>BCiC –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73">
      <c r="A24" s="71" t="inlineStr">
        <is>
          <t>E02</t>
        </is>
      </c>
      <c r="B24" s="35" t="inlineStr">
        <is>
          <t>BSI.IT.6.C7.3_E02_screenshot BCiC apps in scope for DR Testing.jpg</t>
        </is>
      </c>
      <c r="C24" s="35" t="inlineStr">
        <is>
          <t>BSI.IT.6.C7.3-Evidences\04_Data_Integrity_and_Email_Testing_Evidence</t>
        </is>
      </c>
      <c r="D24" s="35" t="inlineStr">
        <is>
          <t>screenshot BCiC apps in scope for DR Testing.jpg</t>
        </is>
      </c>
      <c r="E24" s="35" t="inlineStr">
        <is>
          <t>Data Integrity &amp; Email Testing Evidence.zip</t>
        </is>
      </c>
      <c r="F24" s="35" t="inlineStr">
        <is>
          <t>BCiC screenshot</t>
        </is>
      </c>
      <c r="G24" s="35" t="inlineStr">
        <is>
          <t>09/10/2026 – Cesar Vidal</t>
        </is>
      </c>
      <c r="H24" s="35" t="inlineStr">
        <is>
          <t>BCiC Applications screen with view 'Applications In Scope for DR Test BSI' selected (1–20 of 43 items).</t>
        </is>
      </c>
      <c r="I24" s="35" t="inlineStr">
        <is>
          <t>1822, 1867, 1868, 3299, 4052, 3301, 1903, 1917, 1936, 1937</t>
        </is>
      </c>
      <c r="J24" s="35" t="inlineStr">
        <is>
          <t>D, K, N</t>
        </is>
      </c>
      <c r="K24" s="35" t="n"/>
      <c r="L24" s="31" t="n"/>
    </row>
    <row r="25" ht="23" customHeight="1" s="73">
      <c r="A25" s="71" t="inlineStr">
        <is>
          <t>E03</t>
        </is>
      </c>
      <c r="B25" s="35" t="inlineStr">
        <is>
          <t>BSI.IT.6.C7.3_E03_All Data Integrity Validation Testing_FV.xls</t>
        </is>
      </c>
      <c r="C25" s="35" t="inlineStr">
        <is>
          <t>BSI.IT.6.C7.3-Evidences\04_Data_Integrity_and_Email_Testing_Evidence</t>
        </is>
      </c>
      <c r="D25" s="35" t="inlineStr">
        <is>
          <t>All Data Integrity Validation Testing_FV.xls</t>
        </is>
      </c>
      <c r="E25" s="35" t="inlineStr">
        <is>
          <t>Data Integrity &amp; Email Testing Evidence.zip</t>
        </is>
      </c>
      <c r="F25" s="35" t="inlineStr">
        <is>
          <t>BCiC export</t>
        </is>
      </c>
      <c r="G25" s="35" t="inlineStr">
        <is>
          <t>BCiC – Data Integrity Validation Testing (62 records)</t>
        </is>
      </c>
      <c r="H25" s="35" t="inlineStr">
        <is>
          <t>BCiC DIV export incl. Business Tester, Business Data Validation Date, Department Manager, Department Manager Approval Date, Y/N Format/Headers/Content, Attestation Date / Provided By. Row numbers quoted are Excel rows.</t>
        </is>
      </c>
      <c r="I25" s="35" t="inlineStr">
        <is>
          <t>1822, 1867, 1868, 3299, 4052, 3301, 1903, 1917, 1936, 1937</t>
        </is>
      </c>
      <c r="J25" s="35" t="inlineStr">
        <is>
          <t>B, C, D, E, F, G, H, I, K, L, M, O, P</t>
        </is>
      </c>
      <c r="K25" s="35" t="n"/>
      <c r="L25" s="31" t="n"/>
    </row>
    <row r="26" ht="62.5" customHeight="1" s="73">
      <c r="A26" s="71" t="inlineStr">
        <is>
          <t>E04</t>
        </is>
      </c>
      <c r="B26" s="35" t="inlineStr">
        <is>
          <t>BSI.IT.6.C7.3_E04_BCiC_Screenshot for Data Integrity Validation report.jpg</t>
        </is>
      </c>
      <c r="C26" s="35" t="inlineStr">
        <is>
          <t>BSI.IT.6.C7.3-Evidences\04_Data_Integrity_and_Email_Testing_Evidence</t>
        </is>
      </c>
      <c r="D26" s="35" t="inlineStr">
        <is>
          <t>BCiC_Screenshot for Data Integrity Validation report.jpg</t>
        </is>
      </c>
      <c r="E26" s="35" t="inlineStr">
        <is>
          <t>Data Integrity &amp; Email Testing Evidence.zip</t>
        </is>
      </c>
      <c r="F26" s="35" t="inlineStr">
        <is>
          <t>BCiC screenshot</t>
        </is>
      </c>
      <c r="G26" s="35" t="inlineStr">
        <is>
          <t>09/10/2026 – Cesar Vidal</t>
        </is>
      </c>
      <c r="H26" s="35" t="inlineStr">
        <is>
          <t>BCiC 'Data Integrity Validation Testing' screen (1–20 of 66 items) showing tester, validation date, manager, approval date, Y/N results and attestation fields.</t>
        </is>
      </c>
      <c r="I26" s="35" t="inlineStr">
        <is>
          <t>1822, 1867, 1868, 3299, 4052, 3301, 1903, 1917, 1936, 1937</t>
        </is>
      </c>
      <c r="J26" s="35" t="inlineStr">
        <is>
          <t>D, E, F, G, H, K, P</t>
        </is>
      </c>
      <c r="K26" s="35" t="n"/>
      <c r="L26" s="31" t="n"/>
    </row>
    <row r="27" ht="50" customHeight="1" s="73">
      <c r="A27" s="71" t="inlineStr">
        <is>
          <t>E05</t>
        </is>
      </c>
      <c r="B27" s="35" t="inlineStr">
        <is>
          <t>BSI.IT.6.C7.3_E05_IT BIA Results Review and preparation for DR .msg</t>
        </is>
      </c>
      <c r="C27" s="35" t="inlineStr">
        <is>
          <t>BSI.IT.6.C7.3-Evidences\04_Data_Integrity_and_Email_Testing_Evidence</t>
        </is>
      </c>
      <c r="D27" s="35" t="inlineStr">
        <is>
          <t>IT BIA Results Review and preparation for DR .msg</t>
        </is>
      </c>
      <c r="E27" s="35" t="inlineStr">
        <is>
          <t>Data Integrity &amp; Email Testing Evidence.zip</t>
        </is>
      </c>
      <c r="F27" s="35" t="inlineStr">
        <is>
          <t>Meeting invite</t>
        </is>
      </c>
      <c r="G27" s="35" t="inlineStr">
        <is>
          <t>09/15/2025 – Elizabeth Noda</t>
        </is>
      </c>
      <c r="H27" s="35" t="inlineStr">
        <is>
          <t>IT DR meeting invite to review the 2025 BIA results and applications list ahead of the DR exercise (same invite re-sent 09/18/2025 – duplicate E06 removed).</t>
        </is>
      </c>
      <c r="I27" s="35" t="inlineStr">
        <is>
          <t>1822, 1867, 1868, 3299, 4052, 3301, 1903, 1917, 1936, 1937</t>
        </is>
      </c>
      <c r="J27" s="35" t="inlineStr">
        <is>
          <t>M, N</t>
        </is>
      </c>
      <c r="K27" s="35" t="n"/>
      <c r="L27" s="31" t="n"/>
    </row>
    <row r="28" ht="325" customHeight="1" s="73">
      <c r="A28" s="71" t="inlineStr">
        <is>
          <t>E07</t>
        </is>
      </c>
      <c r="B28" s="35" t="inlineStr">
        <is>
          <t>BSI.IT.6.C7.3_E07_DATA INTERITY FILS FROM 111425.msg</t>
        </is>
      </c>
      <c r="C28" s="35" t="inlineStr">
        <is>
          <t>BSI.IT.6.C7.3-Evidences\04_Data_Integrity_and_Email_Testing_Evidence</t>
        </is>
      </c>
      <c r="D28" s="35" t="inlineStr">
        <is>
          <t>DATA INTERITY FILS FROM 111425.msg</t>
        </is>
      </c>
      <c r="E28" s="35" t="inlineStr">
        <is>
          <t>Data Integrity &amp; Email Testing Evidence.zip</t>
        </is>
      </c>
      <c r="F28" s="35" t="inlineStr">
        <is>
          <t>Email + report attachments</t>
        </is>
      </c>
      <c r="G28" s="35" t="inlineStr">
        <is>
          <t>11/15/2025 –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73">
      <c r="A29" s="71" t="inlineStr">
        <is>
          <t>E08</t>
        </is>
      </c>
      <c r="B29" s="35" t="inlineStr">
        <is>
          <t>BSI.IT.6.C7.3_E08_FILES FROM 111525 DR TEST - DATA COMPARISON FROM 111425.msg</t>
        </is>
      </c>
      <c r="C29" s="35" t="inlineStr">
        <is>
          <t>BSI.IT.6.C7.3-Evidences\04_Data_Integrity_and_Email_Testing_Evidence</t>
        </is>
      </c>
      <c r="D29" s="35" t="inlineStr">
        <is>
          <t>FILES FROM 111525 DR TEST - DATA COMPARISON FROM 111425.msg</t>
        </is>
      </c>
      <c r="E29" s="35" t="inlineStr">
        <is>
          <t>Data Integrity &amp; Email Testing Evidence.zip</t>
        </is>
      </c>
      <c r="F29" s="35" t="inlineStr">
        <is>
          <t>Email + report attachments</t>
        </is>
      </c>
      <c r="G29" s="35" t="inlineStr">
        <is>
          <t>11/15/2025 –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73">
      <c r="A30" s="71" t="inlineStr">
        <is>
          <t>E09</t>
        </is>
      </c>
      <c r="B30" s="35" t="inlineStr">
        <is>
          <t>BSI.IT.6.C7.3_E09_RE_ Yearly Backup and restore exercise- client back office sign off-ACH,ACH Express, FedExport, FedImport,Imagi.msg</t>
        </is>
      </c>
      <c r="C30" s="35" t="inlineStr">
        <is>
          <t>BSI.IT.6.C7.3-Evidences\04_Data_Integrity_and_Email_Testing_Evidence</t>
        </is>
      </c>
      <c r="D30" s="35" t="inlineStr">
        <is>
          <t>RE_ Yearly Backup and restore exercise (Client Back Office)</t>
        </is>
      </c>
      <c r="E30" s="35" t="inlineStr">
        <is>
          <t>Data Integrity &amp; Email Testing Evidence.zip</t>
        </is>
      </c>
      <c r="F30" s="35" t="inlineStr">
        <is>
          <t>Email approval</t>
        </is>
      </c>
      <c r="G30" s="35" t="inlineStr">
        <is>
          <t>03/03/2026 – 05/05/2026 –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73">
      <c r="A31" s="71" t="inlineStr">
        <is>
          <t>E10</t>
        </is>
      </c>
      <c r="B31" s="35" t="inlineStr">
        <is>
          <t>BSI.IT.6.C7.3_E10_RE_ Yearly Backup and restore exercise-- re-run- Finance approval-T24-ReconXpert.msg</t>
        </is>
      </c>
      <c r="C31" s="35" t="inlineStr">
        <is>
          <t>BSI.IT.6.C7.3-Evidences\04_Data_Integrity_and_Email_Testing_Evidence</t>
        </is>
      </c>
      <c r="D31" s="35" t="inlineStr">
        <is>
          <t>RE_ Yearly Backup and restore exercise-- re-run (Finance)</t>
        </is>
      </c>
      <c r="E31" s="35" t="inlineStr">
        <is>
          <t>Data Integrity &amp; Email Testing Evidence.zip</t>
        </is>
      </c>
      <c r="F31" s="35" t="inlineStr">
        <is>
          <t>Email approval</t>
        </is>
      </c>
      <c r="G31" s="35" t="inlineStr">
        <is>
          <t>03/09/2026 –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73">
      <c r="A32" s="71" t="inlineStr">
        <is>
          <t>E13</t>
        </is>
      </c>
      <c r="B32" s="35" t="inlineStr">
        <is>
          <t>BSI.IT.6.C7.3_E13_miasx2 T24 environment(s)  miaeod miabed01 refreshed correctly.msg</t>
        </is>
      </c>
      <c r="C32" s="35" t="inlineStr">
        <is>
          <t>BSI.IT.6.C7.3-Evidences\04_Data_Integrity_and_Email_Testing_Evidence</t>
        </is>
      </c>
      <c r="D32" s="35" t="inlineStr">
        <is>
          <t>miasx2 T24 environment(s) miaeod miabed01 refreshed correctly.msg</t>
        </is>
      </c>
      <c r="E32" s="35" t="inlineStr">
        <is>
          <t>Data Integrity &amp; Email Testing Evidence.zip</t>
        </is>
      </c>
      <c r="F32" s="35" t="inlineStr">
        <is>
          <t>System email</t>
        </is>
      </c>
      <c r="G32" s="35" t="inlineStr">
        <is>
          <t>11/13/2024 – T24 backup user</t>
        </is>
      </c>
      <c r="H32" s="35" t="inlineStr">
        <is>
          <t>T24 environment refresh log – prior period (outside review period); supplemental only.</t>
        </is>
      </c>
      <c r="I32" s="35" t="inlineStr">
        <is>
          <t>—</t>
        </is>
      </c>
      <c r="J32" s="35" t="inlineStr">
        <is>
          <t>Supplemental</t>
        </is>
      </c>
      <c r="K32" s="35" t="n"/>
      <c r="L32" s="31" t="n"/>
    </row>
    <row r="33" ht="62.5" customHeight="1" s="73">
      <c r="A33" s="71" t="inlineStr">
        <is>
          <t>E16b</t>
        </is>
      </c>
      <c r="B33" s="35" t="inlineStr">
        <is>
          <t>BSI.IT.6.C7.3_E16b_All Data Integrity Validation Testing-BSI 2025-26.xlsx</t>
        </is>
      </c>
      <c r="C33" s="35" t="inlineStr">
        <is>
          <t>BSI.IT.6.C7.3-Evidences\04_Data_Integrity_and_Email_Testing_Evidence</t>
        </is>
      </c>
      <c r="D33" s="35" t="inlineStr">
        <is>
          <t>All Data Integrity Validation Testing-BSI 2025-26.xlsx (attachment of DMA05 email)</t>
        </is>
      </c>
      <c r="E33" s="35" t="inlineStr">
        <is>
          <t>Data Integrity &amp; Email Testing Evidence.zip</t>
        </is>
      </c>
      <c r="F33" s="35" t="inlineStr">
        <is>
          <t>BCiC export</t>
        </is>
      </c>
      <c r="G33" s="35" t="inlineStr">
        <is>
          <t>08/2026 –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73">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73">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73">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73">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73">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73">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73">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 retained inside DMA02 (attachment)</t>
        </is>
      </c>
      <c r="F42" s="31" t="n"/>
      <c r="G42" s="31" t="n"/>
      <c r="H42" s="31" t="n"/>
      <c r="I42" s="31" t="n"/>
      <c r="J42" s="31" t="n"/>
      <c r="K42" s="31" t="n"/>
      <c r="L42" s="31" t="n"/>
    </row>
    <row r="43" ht="62.5" customHeight="1" s="73">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73">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 retained inside DMA04 (attachment)</t>
        </is>
      </c>
      <c r="F44" s="31" t="n"/>
      <c r="G44" s="31" t="n"/>
      <c r="H44" s="31" t="n"/>
      <c r="I44" s="31" t="n"/>
      <c r="J44" s="31" t="n"/>
      <c r="K44" s="31" t="n"/>
      <c r="L44" s="31" t="n"/>
    </row>
    <row r="45" ht="75" customHeight="1" s="73">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73">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 retained inside DMA05 (attachment)</t>
        </is>
      </c>
      <c r="F46" s="31" t="n"/>
      <c r="G46" s="31" t="n"/>
      <c r="H46" s="31" t="n"/>
      <c r="I46" s="31" t="n"/>
      <c r="J46" s="31" t="n"/>
      <c r="K46" s="31" t="n"/>
      <c r="L46" s="31" t="n"/>
    </row>
    <row r="47" ht="62.5" customHeight="1" s="73">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73">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 retained inside DMA03 (attachment)</t>
        </is>
      </c>
      <c r="F48" s="31" t="n"/>
      <c r="G48" s="31" t="n"/>
      <c r="H48" s="31" t="n"/>
      <c r="I48" s="31" t="n"/>
      <c r="J48" s="31" t="n"/>
      <c r="K48" s="31" t="n"/>
      <c r="L48" s="31" t="n"/>
    </row>
    <row r="49" ht="62.5" customHeight="1" s="73">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 cited as DMA01 (attachment)</t>
        </is>
      </c>
      <c r="F49" s="31" t="n"/>
      <c r="G49" s="31" t="n"/>
      <c r="H49" s="31" t="n"/>
      <c r="I49" s="31" t="n"/>
      <c r="J49" s="31" t="n"/>
      <c r="K49" s="31" t="n"/>
      <c r="L49" s="31" t="n"/>
    </row>
    <row r="50" ht="62.5" customHeight="1" s="73">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 cited as DMA02 (attachment)</t>
        </is>
      </c>
      <c r="F50" s="31" t="n"/>
      <c r="G50" s="31" t="n"/>
      <c r="H50" s="31" t="n"/>
      <c r="I50" s="31" t="n"/>
      <c r="J50" s="31" t="n"/>
      <c r="K50" s="31" t="n"/>
      <c r="L50" s="31" t="n"/>
    </row>
    <row r="51" ht="62.5" customHeight="1" s="73">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 cited as DMA03 (attachment)</t>
        </is>
      </c>
      <c r="F51" s="31" t="n"/>
      <c r="G51" s="31" t="n"/>
      <c r="H51" s="31" t="n"/>
      <c r="I51" s="31" t="n"/>
      <c r="J51" s="31" t="n"/>
      <c r="K51" s="31" t="n"/>
      <c r="L51" s="31" t="n"/>
    </row>
    <row r="52" ht="62.5" customHeight="1" s="73">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 cited as DMA04 (attachment)</t>
        </is>
      </c>
      <c r="F52" s="31" t="n"/>
      <c r="G52" s="31" t="n"/>
      <c r="H52" s="31" t="n"/>
      <c r="I52" s="31" t="n"/>
      <c r="J52" s="31" t="n"/>
      <c r="K52" s="31" t="n"/>
      <c r="L52" s="31" t="n"/>
    </row>
    <row r="53" ht="75" customHeight="1" s="73">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 cited as DMA05 (attachment)</t>
        </is>
      </c>
      <c r="F53" s="31" t="n"/>
      <c r="G53" s="31" t="n"/>
      <c r="H53" s="31" t="n"/>
      <c r="I53" s="31" t="n"/>
      <c r="J53" s="31" t="n"/>
      <c r="K53" s="31" t="n"/>
      <c r="L53" s="31" t="n"/>
    </row>
    <row r="54" ht="75" customHeight="1" s="73">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 cited as DMA06 (attachment)</t>
        </is>
      </c>
      <c r="F54" s="31" t="n"/>
      <c r="G54" s="31" t="n"/>
      <c r="H54" s="31" t="n"/>
      <c r="I54" s="31" t="n"/>
      <c r="J54" s="31" t="n"/>
      <c r="K54" s="31" t="n"/>
      <c r="L54" s="31" t="n"/>
    </row>
    <row r="55" ht="62.5" customHeight="1" s="73">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 cited as DMA07 (attachment)</t>
        </is>
      </c>
      <c r="F55" s="31" t="n"/>
      <c r="G55" s="31" t="n"/>
      <c r="H55" s="31" t="n"/>
      <c r="I55" s="31" t="n"/>
      <c r="J55" s="31" t="n"/>
      <c r="K55" s="31" t="n"/>
      <c r="L55" s="31" t="n"/>
    </row>
    <row r="56" ht="62.5" customHeight="1" s="73">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 cited as DMA09 (attachment)</t>
        </is>
      </c>
      <c r="F56" s="31" t="n"/>
      <c r="G56" s="31" t="n"/>
      <c r="H56" s="31" t="n"/>
      <c r="I56" s="31" t="n"/>
      <c r="J56" s="31" t="n"/>
      <c r="K56" s="31" t="n"/>
      <c r="L56" s="31" t="n"/>
    </row>
    <row r="57" ht="62.5" customHeight="1" s="73">
      <c r="A57" s="35" t="inlineStr">
        <is>
          <t>E07.01–E07.13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 cited as E07 (attachments)</t>
        </is>
      </c>
      <c r="F57" s="31" t="n"/>
      <c r="G57" s="31" t="n"/>
      <c r="H57" s="31" t="n"/>
      <c r="I57" s="31" t="n"/>
      <c r="J57" s="31" t="n"/>
      <c r="K57" s="31" t="n"/>
      <c r="L57" s="31" t="n"/>
    </row>
    <row r="58" ht="62.5" customHeight="1" s="73">
      <c r="A58" s="35" t="inlineStr">
        <is>
          <t>E08.01–E08.13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 cited as E08 (attachments)</t>
        </is>
      </c>
      <c r="F58" s="31" t="n"/>
      <c r="G58" s="31" t="n"/>
      <c r="H58" s="31" t="n"/>
      <c r="I58" s="31" t="n"/>
      <c r="J58" s="31" t="n"/>
      <c r="K58" s="31" t="n"/>
      <c r="L58" s="31" t="n"/>
    </row>
    <row r="59" ht="62.5" customHeight="1" s="73">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109" display="MA01"/>
    <hyperlink ref="A4" location="'Application Attribute Testing'!A84" display="BLA01"/>
    <hyperlink ref="A5" location="'Application Attribute Testing'!A85" display="BLA02"/>
    <hyperlink ref="A6" location="'Application Attribute Testing'!A86" display="BLA03"/>
    <hyperlink ref="A7" location="'Application Attribute Testing'!A87" display="BLA04"/>
    <hyperlink ref="A8" location="'Application Attribute Testing'!A88" display="BLA05"/>
    <hyperlink ref="A9" location="'Application Attribute Testing'!A89" display="BLA06"/>
    <hyperlink ref="A10" location="'Application Attribute Testing'!A93" display="DMA01"/>
    <hyperlink ref="A11" location="'Application Attribute Testing'!A94" display="DMA02"/>
    <hyperlink ref="A12" location="'Application Attribute Testing'!A95" display="DMA03"/>
    <hyperlink ref="A13" location="'Application Attribute Testing'!A96" display="DMA04"/>
    <hyperlink ref="A14" location="'Application Attribute Testing'!A97" display="DMA05"/>
    <hyperlink ref="A15" location="'Application Attribute Testing'!A98" display="DMA06"/>
    <hyperlink ref="A16" location="'Application Attribute Testing'!A99" display="DMA07"/>
    <hyperlink ref="A17" location="'Application Attribute Testing'!A100" display="DMA08"/>
    <hyperlink ref="A18" location="'Application Attribute Testing'!A101" display="DMA09"/>
    <hyperlink ref="A19" location="'Application Attribute Testing'!A102" display="DMA10"/>
    <hyperlink ref="A20" location="'Application Attribute Testing'!A103" display="DMA11"/>
    <hyperlink ref="A21" location="'Application Attribute Testing'!A104" display="DMA12"/>
    <hyperlink ref="A22" location="'Application Attribute Testing'!A105" display="DMA13"/>
    <hyperlink ref="A23" location="'Application Attribute Testing'!A110" display="E01"/>
    <hyperlink ref="A24" location="'Application Attribute Testing'!A111" display="E02"/>
    <hyperlink ref="A25" location="'Application Attribute Testing'!A112" display="E03"/>
    <hyperlink ref="A26" location="'Application Attribute Testing'!A113" display="E04"/>
    <hyperlink ref="A27" location="'Application Attribute Testing'!A114" display="E05"/>
    <hyperlink ref="A28" location="'Application Attribute Testing'!A115" display="E07"/>
    <hyperlink ref="A29" location="'Application Attribute Testing'!A116" display="E08"/>
    <hyperlink ref="A30" location="'Application Attribute Testing'!A117" display="E09"/>
    <hyperlink ref="A31" location="'Application Attribute Testing'!A118" display="E10"/>
    <hyperlink ref="A32" location="'Application Attribute Testing'!A119" display="E13"/>
    <hyperlink ref="A33" location="'Application Attribute Testing'!A120" display="E16b"/>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73" min="2" max="2"/>
    <col width="29.1640625" customWidth="1" style="73" min="3" max="3"/>
  </cols>
  <sheetData>
    <row r="1" customFormat="1" s="27">
      <c r="A1" s="27" t="inlineStr">
        <is>
          <t>Application ID</t>
        </is>
      </c>
      <c r="B1" s="27" t="inlineStr">
        <is>
          <t>Test Name</t>
        </is>
      </c>
      <c r="C1" s="27" t="inlineStr">
        <is>
          <t>Test Date</t>
        </is>
      </c>
      <c r="D1" s="27" t="inlineStr">
        <is>
          <t>Application Test Name</t>
        </is>
      </c>
      <c r="E1" s="27" t="inlineStr">
        <is>
          <t>Application</t>
        </is>
      </c>
      <c r="F1" s="27" t="inlineStr">
        <is>
          <t>Premises</t>
        </is>
      </c>
      <c r="G1" s="27" t="inlineStr">
        <is>
          <t>Criticality Rating</t>
        </is>
      </c>
      <c r="H1" s="27" t="inlineStr">
        <is>
          <t>RTA</t>
        </is>
      </c>
      <c r="I1" s="27" t="inlineStr">
        <is>
          <t>RPA</t>
        </is>
      </c>
      <c r="J1" s="27" t="inlineStr">
        <is>
          <t>Calculated RTO</t>
        </is>
      </c>
      <c r="K1" s="27" t="inlineStr">
        <is>
          <t>Calculated RPO</t>
        </is>
      </c>
      <c r="L1" s="27" t="inlineStr">
        <is>
          <t>Application Test Results</t>
        </is>
      </c>
      <c r="M1" s="27" t="inlineStr">
        <is>
          <t>IT Owner</t>
        </is>
      </c>
      <c r="N1" s="27" t="inlineStr">
        <is>
          <t>IT Owner 2</t>
        </is>
      </c>
      <c r="O1" s="28" t="inlineStr">
        <is>
          <t>BCM App Test Results</t>
        </is>
      </c>
      <c r="P1" s="28" t="inlineStr">
        <is>
          <t>BCM App Test Validation</t>
        </is>
      </c>
      <c r="Q1" s="27" t="inlineStr">
        <is>
          <t>BCM App Test Review Date</t>
        </is>
      </c>
      <c r="R1" s="27" t="inlineStr">
        <is>
          <t>BCM App Test Validation Comments</t>
        </is>
      </c>
      <c r="S1" s="27" t="inlineStr">
        <is>
          <t>BCM App Test Validation Completed By</t>
        </is>
      </c>
      <c r="T1" s="27" t="inlineStr">
        <is>
          <t>Created At</t>
        </is>
      </c>
      <c r="U1" s="27" t="inlineStr">
        <is>
          <t>Created By</t>
        </is>
      </c>
      <c r="V1" s="27" t="inlineStr">
        <is>
          <t>Updated At</t>
        </is>
      </c>
      <c r="W1" s="27" t="inlineStr">
        <is>
          <t>Updated By</t>
        </is>
      </c>
      <c r="X1" s="27" t="inlineStr">
        <is>
          <t>Subsidiary (Permissions)</t>
        </is>
      </c>
      <c r="Y1" s="27" t="inlineStr">
        <is>
          <t>App Subsidiary</t>
        </is>
      </c>
      <c r="Z1" s="27" t="inlineStr">
        <is>
          <t>App Sub Permissions</t>
        </is>
      </c>
      <c r="AA1" s="27" t="inlineStr">
        <is>
          <t>Regulatory Flags</t>
        </is>
      </c>
    </row>
    <row r="2" customFormat="1" s="27">
      <c r="A2" s="27" t="inlineStr">
        <is>
          <t>3285</t>
        </is>
      </c>
      <c r="B2" s="27" t="inlineStr">
        <is>
          <t>2024 Full 2024 DR Test (Virginia)</t>
        </is>
      </c>
      <c r="C2" s="27" t="inlineStr">
        <is>
          <t>10/19/2024</t>
        </is>
      </c>
      <c r="D2" s="27" t="inlineStr">
        <is>
          <t>Avamar - BSI - 2024 Full 2024 DR Test (Virginia)</t>
        </is>
      </c>
      <c r="E2" s="27" t="inlineStr">
        <is>
          <t>Avamar - BSI</t>
        </is>
      </c>
      <c r="F2" s="27" t="inlineStr">
        <is>
          <t>On-Premises</t>
        </is>
      </c>
      <c r="G2" s="27" t="inlineStr">
        <is>
          <t>High</t>
        </is>
      </c>
      <c r="H2" s="27" t="inlineStr">
        <is>
          <t>30:43:30</t>
        </is>
      </c>
      <c r="J2" s="27" t="inlineStr">
        <is>
          <t>0 - 8 hours</t>
        </is>
      </c>
      <c r="K2" s="27" t="inlineStr">
        <is>
          <t>4 - 8 hours</t>
        </is>
      </c>
      <c r="L2" s="27" t="inlineStr">
        <is>
          <t>Successful</t>
        </is>
      </c>
      <c r="M2" s="27" t="inlineStr">
        <is>
          <t>Jose Manuel Oliveros</t>
        </is>
      </c>
      <c r="N2" s="27" t="inlineStr">
        <is>
          <t>Ian Rojo</t>
        </is>
      </c>
      <c r="O2" s="27" t="inlineStr">
        <is>
          <t>Successful</t>
        </is>
      </c>
      <c r="P2" s="27" t="inlineStr">
        <is>
          <t>Validated</t>
        </is>
      </c>
      <c r="Q2" s="27" t="inlineStr">
        <is>
          <t>10/22/2024</t>
        </is>
      </c>
      <c r="S2" s="27" t="inlineStr">
        <is>
          <t>Cesar Vidal</t>
        </is>
      </c>
      <c r="T2" s="27" t="inlineStr">
        <is>
          <t>11/07/2024, 5:35 PM</t>
        </is>
      </c>
      <c r="U2" s="27" t="inlineStr">
        <is>
          <t>Cesar Vidal</t>
        </is>
      </c>
      <c r="V2" s="27" t="inlineStr">
        <is>
          <t>11/07/2024, 5:37 PM</t>
        </is>
      </c>
      <c r="W2" s="27" t="inlineStr">
        <is>
          <t>Cesar Vidal</t>
        </is>
      </c>
      <c r="X2" s="27" t="inlineStr">
        <is>
          <t>Banco Santander International</t>
        </is>
      </c>
      <c r="Y2" s="27" t="inlineStr">
        <is>
          <t>Banco Santander International</t>
        </is>
      </c>
      <c r="Z2" s="27" t="inlineStr">
        <is>
          <t>Banco Santander International</t>
        </is>
      </c>
    </row>
    <row r="3" customFormat="1" s="27">
      <c r="A3" s="27" t="inlineStr">
        <is>
          <t>3346</t>
        </is>
      </c>
      <c r="B3" s="27" t="inlineStr">
        <is>
          <t>2024 Full 2024 DR Test (Virginia)</t>
        </is>
      </c>
      <c r="C3" s="27" t="inlineStr">
        <is>
          <t>10/19/2024</t>
        </is>
      </c>
      <c r="D3" s="27" t="inlineStr">
        <is>
          <t>Zerto - BSI - 2024 Full 2024 DR Test (Virginia)</t>
        </is>
      </c>
      <c r="E3" s="27" t="inlineStr">
        <is>
          <t>Zerto - BSI</t>
        </is>
      </c>
      <c r="F3" s="27" t="inlineStr">
        <is>
          <t>On-Premises</t>
        </is>
      </c>
      <c r="G3" s="27" t="inlineStr">
        <is>
          <t>High</t>
        </is>
      </c>
      <c r="H3" s="27" t="inlineStr">
        <is>
          <t>02:13:00</t>
        </is>
      </c>
      <c r="J3" s="27" t="inlineStr">
        <is>
          <t>0 - 8 hours</t>
        </is>
      </c>
      <c r="K3" s="27" t="inlineStr">
        <is>
          <t>4 - 8 hours</t>
        </is>
      </c>
      <c r="L3" s="27" t="inlineStr">
        <is>
          <t>Successful</t>
        </is>
      </c>
      <c r="M3" s="27" t="inlineStr">
        <is>
          <t>Jose Manuel Oliveros</t>
        </is>
      </c>
      <c r="N3" s="27" t="inlineStr">
        <is>
          <t>Ian Rojo</t>
        </is>
      </c>
      <c r="O3" s="27" t="inlineStr">
        <is>
          <t>Successful</t>
        </is>
      </c>
      <c r="P3" s="27" t="inlineStr">
        <is>
          <t>Validated</t>
        </is>
      </c>
      <c r="Q3" s="27" t="inlineStr">
        <is>
          <t>10/22/2024</t>
        </is>
      </c>
      <c r="S3" s="27" t="inlineStr">
        <is>
          <t>Cesar Vidal</t>
        </is>
      </c>
      <c r="T3" s="27" t="inlineStr">
        <is>
          <t>11/07/2024, 5:24 PM</t>
        </is>
      </c>
      <c r="U3" s="27" t="inlineStr">
        <is>
          <t>Cesar Vidal</t>
        </is>
      </c>
      <c r="V3" s="27" t="inlineStr">
        <is>
          <t>11/07/2024, 5:25 PM</t>
        </is>
      </c>
      <c r="W3" s="27" t="inlineStr">
        <is>
          <t>Cesar Vidal</t>
        </is>
      </c>
      <c r="X3" s="27" t="inlineStr">
        <is>
          <t>Banco Santander International</t>
        </is>
      </c>
      <c r="Y3" s="27" t="inlineStr">
        <is>
          <t>Banco Santander International</t>
        </is>
      </c>
      <c r="Z3" s="27" t="inlineStr">
        <is>
          <t>Banco Santander International</t>
        </is>
      </c>
    </row>
    <row r="4" customFormat="1" s="27">
      <c r="A4" s="27" t="inlineStr">
        <is>
          <t>3311</t>
        </is>
      </c>
      <c r="B4" s="27" t="inlineStr">
        <is>
          <t>2024 Full 2024 DR Test (Virginia)</t>
        </is>
      </c>
      <c r="C4" s="27" t="inlineStr">
        <is>
          <t>10/19/2024</t>
        </is>
      </c>
      <c r="D4" s="27" t="inlineStr">
        <is>
          <t>ServiceNow - BSI - 2024 Full 2024 DR Test (Virginia)</t>
        </is>
      </c>
      <c r="E4" s="27" t="inlineStr">
        <is>
          <t>zzz_Retired: ServiceNow - BSI</t>
        </is>
      </c>
      <c r="F4" s="27" t="inlineStr">
        <is>
          <t>Off-Premises</t>
        </is>
      </c>
      <c r="G4" s="27" t="inlineStr">
        <is>
          <t>No Dependency</t>
        </is>
      </c>
      <c r="H4" s="27" t="inlineStr">
        <is>
          <t>02:57:00</t>
        </is>
      </c>
      <c r="L4" s="27" t="inlineStr">
        <is>
          <t>Successful</t>
        </is>
      </c>
      <c r="M4" s="27" t="inlineStr">
        <is>
          <t>Jose Manuel Oliveros</t>
        </is>
      </c>
      <c r="N4" s="27" t="inlineStr">
        <is>
          <t>Cesar Rubio</t>
        </is>
      </c>
      <c r="O4" s="27" t="inlineStr">
        <is>
          <t>Successful</t>
        </is>
      </c>
      <c r="P4" s="27" t="inlineStr">
        <is>
          <t>Validated</t>
        </is>
      </c>
      <c r="Q4" s="27" t="inlineStr">
        <is>
          <t>10/22/2024</t>
        </is>
      </c>
      <c r="S4" s="27" t="inlineStr">
        <is>
          <t>Cesar Vidal</t>
        </is>
      </c>
      <c r="T4" s="27" t="inlineStr">
        <is>
          <t>11/07/2024, 5:14 PM</t>
        </is>
      </c>
      <c r="U4" s="27" t="inlineStr">
        <is>
          <t>Cesar Vidal</t>
        </is>
      </c>
      <c r="V4" s="27" t="inlineStr">
        <is>
          <t>11/07/2024, 5:15 PM</t>
        </is>
      </c>
      <c r="W4" s="27" t="inlineStr">
        <is>
          <t>Cesar Vidal</t>
        </is>
      </c>
      <c r="X4" s="27" t="inlineStr">
        <is>
          <t>Banco Santander International</t>
        </is>
      </c>
      <c r="Y4" s="27" t="inlineStr">
        <is>
          <t>Retired Subsidiary</t>
        </is>
      </c>
      <c r="Z4" s="27" t="inlineStr">
        <is>
          <t>Banco Santander International</t>
        </is>
      </c>
    </row>
    <row r="5" customFormat="1" s="27">
      <c r="A5" s="27" t="inlineStr">
        <is>
          <t>1834</t>
        </is>
      </c>
      <c r="B5" s="27" t="inlineStr">
        <is>
          <t>2024 Full 2024 DR Test (Virginia)</t>
        </is>
      </c>
      <c r="C5" s="27" t="inlineStr">
        <is>
          <t>10/19/2024</t>
        </is>
      </c>
      <c r="D5" s="27" t="inlineStr">
        <is>
          <t>BLOOMBERG - BSI - 2024 Full 2024 DR Test (Virginia)</t>
        </is>
      </c>
      <c r="E5" s="27" t="inlineStr">
        <is>
          <t>BLOOMBERG - BSI</t>
        </is>
      </c>
      <c r="F5" s="27" t="inlineStr">
        <is>
          <t>Off-Premises</t>
        </is>
      </c>
      <c r="G5" s="27" t="inlineStr">
        <is>
          <t>High</t>
        </is>
      </c>
      <c r="H5" s="27" t="inlineStr">
        <is>
          <t>06:00:00</t>
        </is>
      </c>
      <c r="J5" s="27" t="inlineStr">
        <is>
          <t>0 - 8 hours</t>
        </is>
      </c>
      <c r="K5" s="27" t="inlineStr">
        <is>
          <t>4 - 8 hours</t>
        </is>
      </c>
      <c r="L5" s="27" t="inlineStr">
        <is>
          <t>Successful</t>
        </is>
      </c>
      <c r="M5" s="27" t="inlineStr">
        <is>
          <t>Jose Manuel Oliveros</t>
        </is>
      </c>
      <c r="N5" s="27" t="inlineStr">
        <is>
          <t>Cesar Rubio</t>
        </is>
      </c>
      <c r="O5" s="27" t="inlineStr">
        <is>
          <t>Successful</t>
        </is>
      </c>
      <c r="P5" s="27" t="inlineStr">
        <is>
          <t>Validated</t>
        </is>
      </c>
      <c r="Q5" s="27" t="inlineStr">
        <is>
          <t>10/22/2024</t>
        </is>
      </c>
      <c r="S5" s="27" t="inlineStr">
        <is>
          <t>Jorge Fraga</t>
        </is>
      </c>
      <c r="T5" s="27" t="inlineStr">
        <is>
          <t>06/24/2025, 12:46 PM</t>
        </is>
      </c>
      <c r="U5" s="27" t="inlineStr">
        <is>
          <t>Cesar Vidal</t>
        </is>
      </c>
      <c r="V5" s="27" t="inlineStr">
        <is>
          <t>06/24/2025, 12:48 PM</t>
        </is>
      </c>
      <c r="W5" s="27" t="inlineStr">
        <is>
          <t>Cesar Vidal</t>
        </is>
      </c>
      <c r="X5" s="27" t="inlineStr">
        <is>
          <t>Banco Santander International</t>
        </is>
      </c>
      <c r="Y5" s="27" t="inlineStr">
        <is>
          <t>Banco Santander International</t>
        </is>
      </c>
      <c r="Z5" s="27" t="inlineStr">
        <is>
          <t>Banco Santander International</t>
        </is>
      </c>
    </row>
    <row r="6" customFormat="1" s="27">
      <c r="A6" s="27" t="inlineStr">
        <is>
          <t>1868</t>
        </is>
      </c>
      <c r="B6" s="27" t="inlineStr">
        <is>
          <t>2024 Full 2024 DR Test (Virginia)</t>
        </is>
      </c>
      <c r="C6" s="27" t="inlineStr">
        <is>
          <t>10/19/2024</t>
        </is>
      </c>
      <c r="D6" s="27" t="inlineStr">
        <is>
          <t>FedImport - BSI - 2024 Full 2024 DR Test (Virginia)</t>
        </is>
      </c>
      <c r="E6" s="27" t="inlineStr">
        <is>
          <t>FedImport - BSI</t>
        </is>
      </c>
      <c r="F6" s="27" t="inlineStr">
        <is>
          <t>On-Premises</t>
        </is>
      </c>
      <c r="G6" s="27" t="inlineStr">
        <is>
          <t>High</t>
        </is>
      </c>
      <c r="H6" s="27" t="inlineStr">
        <is>
          <t>03:36:00</t>
        </is>
      </c>
      <c r="J6" s="27" t="inlineStr">
        <is>
          <t>0 - 8 hours</t>
        </is>
      </c>
      <c r="K6" s="27" t="inlineStr">
        <is>
          <t>4 - 8 hours</t>
        </is>
      </c>
      <c r="L6" s="27" t="inlineStr">
        <is>
          <t>Successful</t>
        </is>
      </c>
      <c r="M6" s="27" t="inlineStr">
        <is>
          <t>Jose Manuel Oliveros</t>
        </is>
      </c>
      <c r="N6" s="27" t="inlineStr">
        <is>
          <t>Cesar Rubio</t>
        </is>
      </c>
      <c r="O6" s="27" t="inlineStr">
        <is>
          <t>Successful</t>
        </is>
      </c>
      <c r="P6" s="27" t="inlineStr">
        <is>
          <t>Validated</t>
        </is>
      </c>
      <c r="Q6" s="27" t="inlineStr">
        <is>
          <t>10/22/2024</t>
        </is>
      </c>
      <c r="S6" s="27" t="inlineStr">
        <is>
          <t>Cesar Vidal</t>
        </is>
      </c>
      <c r="T6" s="27" t="inlineStr">
        <is>
          <t>11/07/2024, 4:23 PM</t>
        </is>
      </c>
      <c r="U6" s="27" t="inlineStr">
        <is>
          <t>Cesar Vidal</t>
        </is>
      </c>
      <c r="V6" s="27" t="inlineStr">
        <is>
          <t>11/07/2024, 4:24 PM</t>
        </is>
      </c>
      <c r="W6" s="27" t="inlineStr">
        <is>
          <t>Cesar Vidal</t>
        </is>
      </c>
      <c r="X6" s="27" t="inlineStr">
        <is>
          <t>Banco Santander International</t>
        </is>
      </c>
      <c r="Y6" s="27" t="inlineStr">
        <is>
          <t>Banco Santander International</t>
        </is>
      </c>
      <c r="Z6" s="27" t="inlineStr">
        <is>
          <t>Banco Santander International</t>
        </is>
      </c>
      <c r="AA6" s="27" t="inlineStr">
        <is>
          <t>GLBA</t>
        </is>
      </c>
    </row>
    <row r="7" customFormat="1" s="27">
      <c r="A7" s="27" t="inlineStr">
        <is>
          <t>1867</t>
        </is>
      </c>
      <c r="B7" s="27" t="inlineStr">
        <is>
          <t>2024 Full 2024 DR Test (Virginia)</t>
        </is>
      </c>
      <c r="C7" s="27" t="inlineStr">
        <is>
          <t>10/19/2024</t>
        </is>
      </c>
      <c r="D7" s="27" t="inlineStr">
        <is>
          <t>FedExport - BSI - 2024 Full 2024 DR Test (Virginia)</t>
        </is>
      </c>
      <c r="E7" s="27" t="inlineStr">
        <is>
          <t>FedExport - BSI</t>
        </is>
      </c>
      <c r="F7" s="27" t="inlineStr">
        <is>
          <t>On-Premises</t>
        </is>
      </c>
      <c r="G7" s="27" t="inlineStr">
        <is>
          <t>High</t>
        </is>
      </c>
      <c r="H7" s="27" t="inlineStr">
        <is>
          <t>03:36:00</t>
        </is>
      </c>
      <c r="J7" s="27" t="inlineStr">
        <is>
          <t>0 - 8 hours</t>
        </is>
      </c>
      <c r="K7" s="27" t="inlineStr">
        <is>
          <t>4 - 8 hours</t>
        </is>
      </c>
      <c r="L7" s="27" t="inlineStr">
        <is>
          <t>Successful</t>
        </is>
      </c>
      <c r="M7" s="27" t="inlineStr">
        <is>
          <t>Jose Manuel Oliveros</t>
        </is>
      </c>
      <c r="N7" s="27" t="inlineStr">
        <is>
          <t>Cesar Rubio</t>
        </is>
      </c>
      <c r="O7" s="27" t="inlineStr">
        <is>
          <t>Successful</t>
        </is>
      </c>
      <c r="P7" s="27" t="inlineStr">
        <is>
          <t>Validated</t>
        </is>
      </c>
      <c r="Q7" s="27" t="inlineStr">
        <is>
          <t>10/22/2024</t>
        </is>
      </c>
      <c r="S7" s="27" t="inlineStr">
        <is>
          <t>Cesar Vidal</t>
        </is>
      </c>
      <c r="T7" s="27" t="inlineStr">
        <is>
          <t>11/07/2024, 4:22 PM</t>
        </is>
      </c>
      <c r="U7" s="27" t="inlineStr">
        <is>
          <t>Cesar Vidal</t>
        </is>
      </c>
      <c r="V7" s="27" t="inlineStr">
        <is>
          <t>11/07/2024, 4:23 PM</t>
        </is>
      </c>
      <c r="W7" s="27" t="inlineStr">
        <is>
          <t>Cesar Vidal</t>
        </is>
      </c>
      <c r="X7" s="27" t="inlineStr">
        <is>
          <t>Banco Santander International</t>
        </is>
      </c>
      <c r="Y7" s="27" t="inlineStr">
        <is>
          <t>Banco Santander International</t>
        </is>
      </c>
      <c r="Z7" s="27" t="inlineStr">
        <is>
          <t>Banco Santander International</t>
        </is>
      </c>
      <c r="AA7" s="27" t="inlineStr">
        <is>
          <t>GLBA</t>
        </is>
      </c>
    </row>
    <row r="8" customFormat="1" s="27">
      <c r="A8" s="27" t="inlineStr">
        <is>
          <t>3572</t>
        </is>
      </c>
      <c r="B8" s="27" t="inlineStr">
        <is>
          <t>2024 Full 2024 DR Test (Virginia)</t>
        </is>
      </c>
      <c r="C8" s="27" t="inlineStr">
        <is>
          <t>10/19/2024</t>
        </is>
      </c>
      <c r="D8" s="27" t="inlineStr">
        <is>
          <t>Cyberark - BSI - 2024 Full 2024 DR Test (Virginia)</t>
        </is>
      </c>
      <c r="E8" s="27" t="inlineStr">
        <is>
          <t>Cyberark - BSI</t>
        </is>
      </c>
      <c r="F8" s="27" t="inlineStr">
        <is>
          <t>On-Premises</t>
        </is>
      </c>
      <c r="G8" s="27" t="inlineStr">
        <is>
          <t>High</t>
        </is>
      </c>
      <c r="H8" s="27" t="inlineStr">
        <is>
          <t>02:13:00</t>
        </is>
      </c>
      <c r="J8" s="27" t="inlineStr">
        <is>
          <t>0 - 8 hours</t>
        </is>
      </c>
      <c r="K8" s="27" t="inlineStr">
        <is>
          <t>0 - 4 hours</t>
        </is>
      </c>
      <c r="L8" s="27" t="inlineStr">
        <is>
          <t>Successful</t>
        </is>
      </c>
      <c r="M8" s="27" t="inlineStr">
        <is>
          <t>Jose Manuel Oliveros</t>
        </is>
      </c>
      <c r="N8" s="27" t="inlineStr">
        <is>
          <t>Dayam Borges</t>
        </is>
      </c>
      <c r="O8" s="27" t="inlineStr">
        <is>
          <t>Successful</t>
        </is>
      </c>
      <c r="P8" s="27" t="inlineStr">
        <is>
          <t>Validated</t>
        </is>
      </c>
      <c r="Q8" s="27" t="inlineStr">
        <is>
          <t>10/22/2024</t>
        </is>
      </c>
      <c r="S8" s="27" t="inlineStr">
        <is>
          <t>Cesar Vidal</t>
        </is>
      </c>
      <c r="T8" s="27" t="inlineStr">
        <is>
          <t>11/07/2024, 4:18 PM</t>
        </is>
      </c>
      <c r="U8" s="27" t="inlineStr">
        <is>
          <t>Cesar Vidal</t>
        </is>
      </c>
      <c r="V8" s="27" t="inlineStr">
        <is>
          <t>11/07/2024, 4:19 PM</t>
        </is>
      </c>
      <c r="W8" s="27" t="inlineStr">
        <is>
          <t>Cesar Vidal</t>
        </is>
      </c>
      <c r="X8" s="27" t="inlineStr">
        <is>
          <t>Banco Santander International</t>
        </is>
      </c>
      <c r="Y8" s="27" t="inlineStr">
        <is>
          <t>Banco Santander International</t>
        </is>
      </c>
      <c r="Z8" s="27" t="inlineStr">
        <is>
          <t>Banco Santander International</t>
        </is>
      </c>
    </row>
    <row r="9" customFormat="1" s="27">
      <c r="A9" s="27" t="inlineStr">
        <is>
          <t>1892</t>
        </is>
      </c>
      <c r="B9" s="27" t="inlineStr">
        <is>
          <t>2024 DR TP - Market Axess Business Continuity Test Summary</t>
        </is>
      </c>
      <c r="C9" s="27" t="inlineStr">
        <is>
          <t>10/04/2024</t>
        </is>
      </c>
      <c r="D9" s="27" t="inlineStr">
        <is>
          <t>Market Axess - BSI - 2024 DR TP - Market Axess Business Continuity Test Summary</t>
        </is>
      </c>
      <c r="E9" s="27" t="inlineStr">
        <is>
          <t>Market Axess - BSI</t>
        </is>
      </c>
      <c r="F9" s="27" t="inlineStr">
        <is>
          <t>Off-Premises</t>
        </is>
      </c>
      <c r="G9" s="27" t="inlineStr">
        <is>
          <t>High</t>
        </is>
      </c>
      <c r="H9" s="27" t="inlineStr">
        <is>
          <t>02:00:00</t>
        </is>
      </c>
      <c r="J9" s="27" t="inlineStr">
        <is>
          <t>0 - 8 hours</t>
        </is>
      </c>
      <c r="K9" s="27" t="inlineStr">
        <is>
          <t>4 - 8 hours</t>
        </is>
      </c>
      <c r="L9" s="27" t="inlineStr">
        <is>
          <t>Successful</t>
        </is>
      </c>
      <c r="M9" s="27" t="inlineStr">
        <is>
          <t>Jose Manuel Oliveros</t>
        </is>
      </c>
      <c r="N9" s="27" t="inlineStr">
        <is>
          <t>Cesar Rubio</t>
        </is>
      </c>
      <c r="O9" s="27" t="inlineStr">
        <is>
          <t>Successful</t>
        </is>
      </c>
      <c r="P9" s="27" t="inlineStr">
        <is>
          <t>Validated</t>
        </is>
      </c>
      <c r="Q9" s="27" t="inlineStr">
        <is>
          <t>02/21/2025</t>
        </is>
      </c>
      <c r="S9" s="27" t="inlineStr">
        <is>
          <t>Elizabeth Noda</t>
        </is>
      </c>
      <c r="T9" s="27" t="inlineStr">
        <is>
          <t>09/12/2025, 4:27 PM</t>
        </is>
      </c>
      <c r="U9" s="27" t="inlineStr">
        <is>
          <t>Cesar Vidal</t>
        </is>
      </c>
      <c r="V9" s="27" t="inlineStr">
        <is>
          <t>09/12/2025, 4:29 PM</t>
        </is>
      </c>
      <c r="W9" s="27" t="inlineStr">
        <is>
          <t>Cesar Vidal</t>
        </is>
      </c>
      <c r="X9" s="27" t="inlineStr">
        <is>
          <t>Banco Santander International</t>
        </is>
      </c>
      <c r="Y9" s="27" t="inlineStr">
        <is>
          <t>Banco Santander International</t>
        </is>
      </c>
      <c r="Z9" s="27" t="inlineStr">
        <is>
          <t>Banco Santander International</t>
        </is>
      </c>
    </row>
    <row r="10" customFormat="1" s="27">
      <c r="A10" s="27" t="inlineStr">
        <is>
          <t>1856</t>
        </is>
      </c>
      <c r="B10" s="27" t="inlineStr">
        <is>
          <t>2024-TP-DTCC</t>
        </is>
      </c>
      <c r="C10" s="27" t="inlineStr">
        <is>
          <t>11/09/2024</t>
        </is>
      </c>
      <c r="D10" s="27" t="inlineStr">
        <is>
          <t>DTCC - BSI - 2024 - TP- DTCC</t>
        </is>
      </c>
      <c r="E10" s="27" t="inlineStr">
        <is>
          <t>DTCC - BSI</t>
        </is>
      </c>
      <c r="F10" s="27" t="inlineStr">
        <is>
          <t>Off-Premises</t>
        </is>
      </c>
      <c r="G10" s="27" t="inlineStr">
        <is>
          <t>High</t>
        </is>
      </c>
      <c r="H10" s="27" t="inlineStr">
        <is>
          <t>02:54:00</t>
        </is>
      </c>
      <c r="J10" s="27" t="inlineStr">
        <is>
          <t>0 - 8 hours</t>
        </is>
      </c>
      <c r="K10" s="27" t="inlineStr">
        <is>
          <t>8 - 24 hours</t>
        </is>
      </c>
      <c r="L10" s="27" t="inlineStr">
        <is>
          <t>Successful</t>
        </is>
      </c>
      <c r="M10" s="27" t="inlineStr">
        <is>
          <t>Jose Manuel Oliveros</t>
        </is>
      </c>
      <c r="N10" s="27" t="inlineStr">
        <is>
          <t>Cesar Rubio</t>
        </is>
      </c>
      <c r="O10" s="27" t="inlineStr">
        <is>
          <t>Successful</t>
        </is>
      </c>
      <c r="P10" s="27" t="inlineStr">
        <is>
          <t>Validated</t>
        </is>
      </c>
      <c r="Q10" s="27" t="inlineStr">
        <is>
          <t>02/28/2025</t>
        </is>
      </c>
      <c r="S10" s="27" t="inlineStr">
        <is>
          <t>Jorge Fraga</t>
        </is>
      </c>
      <c r="T10" s="27" t="inlineStr">
        <is>
          <t>08/18/2025, 4:22 PM</t>
        </is>
      </c>
      <c r="U10" s="27" t="inlineStr">
        <is>
          <t>Cesar Vidal</t>
        </is>
      </c>
      <c r="V10" s="27" t="inlineStr">
        <is>
          <t>08/18/2025, 4:33 PM</t>
        </is>
      </c>
      <c r="W10" s="27" t="inlineStr">
        <is>
          <t>Cesar Vidal</t>
        </is>
      </c>
      <c r="X10" s="27" t="inlineStr">
        <is>
          <t>Banco Santander International</t>
        </is>
      </c>
      <c r="Y10" s="27" t="inlineStr">
        <is>
          <t>Banco Santander International</t>
        </is>
      </c>
      <c r="Z10" s="27" t="inlineStr">
        <is>
          <t>Banco Santander International</t>
        </is>
      </c>
    </row>
    <row r="11" customFormat="1" s="27">
      <c r="A11" s="27" t="inlineStr">
        <is>
          <t>1936</t>
        </is>
      </c>
      <c r="B11" s="27" t="inlineStr">
        <is>
          <t>2024 Full 2024 DR Test (Virginia)</t>
        </is>
      </c>
      <c r="C11" s="27" t="inlineStr">
        <is>
          <t>10/19/2024</t>
        </is>
      </c>
      <c r="D11" s="27" t="inlineStr">
        <is>
          <t>Swift Interface - BSI - 2024 Full 2024 DR Test (Virginia)</t>
        </is>
      </c>
      <c r="E11" s="27" t="inlineStr">
        <is>
          <t>Swift Interface - BSI</t>
        </is>
      </c>
      <c r="F11" s="27" t="inlineStr">
        <is>
          <t>On-Premises</t>
        </is>
      </c>
      <c r="G11" s="27" t="inlineStr">
        <is>
          <t>High</t>
        </is>
      </c>
      <c r="H11" s="27" t="inlineStr">
        <is>
          <t>03:52:00</t>
        </is>
      </c>
      <c r="J11" s="27" t="inlineStr">
        <is>
          <t>0 - 8 hours</t>
        </is>
      </c>
      <c r="K11" s="27" t="inlineStr">
        <is>
          <t>4 - 8 hours</t>
        </is>
      </c>
      <c r="L11" s="27" t="inlineStr">
        <is>
          <t>Successful</t>
        </is>
      </c>
      <c r="M11" s="27" t="inlineStr">
        <is>
          <t>Jose Manuel Oliveros</t>
        </is>
      </c>
      <c r="N11" s="27" t="inlineStr">
        <is>
          <t>Cesar Rubio</t>
        </is>
      </c>
      <c r="O11" s="27" t="inlineStr">
        <is>
          <t>Successful</t>
        </is>
      </c>
      <c r="P11" s="27" t="inlineStr">
        <is>
          <t>Validated</t>
        </is>
      </c>
      <c r="Q11" s="27" t="inlineStr">
        <is>
          <t>10/22/2024</t>
        </is>
      </c>
      <c r="S11" s="27" t="inlineStr">
        <is>
          <t>Jorge Fraga</t>
        </is>
      </c>
      <c r="T11" s="27" t="inlineStr">
        <is>
          <t>06/27/2025, 4:55 PM</t>
        </is>
      </c>
      <c r="U11" s="27" t="inlineStr">
        <is>
          <t>Cesar Vidal</t>
        </is>
      </c>
      <c r="V11" s="27" t="inlineStr">
        <is>
          <t>06/27/2025, 4:56 PM</t>
        </is>
      </c>
      <c r="W11" s="27" t="inlineStr">
        <is>
          <t>Cesar Vidal</t>
        </is>
      </c>
      <c r="X11" s="27" t="inlineStr">
        <is>
          <t>Banco Santander International</t>
        </is>
      </c>
      <c r="Y11" s="27" t="inlineStr">
        <is>
          <t>Banco Santander International</t>
        </is>
      </c>
      <c r="Z11" s="27" t="inlineStr">
        <is>
          <t>Banco Santander International</t>
        </is>
      </c>
    </row>
    <row r="12" customFormat="1" s="27">
      <c r="A12" s="27" t="inlineStr">
        <is>
          <t>1892</t>
        </is>
      </c>
      <c r="B12" s="27" t="inlineStr">
        <is>
          <t>2024 Full 2024 DR Test (Virginia)</t>
        </is>
      </c>
      <c r="C12" s="27" t="inlineStr">
        <is>
          <t>10/19/2024</t>
        </is>
      </c>
      <c r="D12" s="27" t="inlineStr">
        <is>
          <t>Market Axess - BSI - 2024 Full 2024 DR Test (Virginia)</t>
        </is>
      </c>
      <c r="E12" s="27" t="inlineStr">
        <is>
          <t>Market Axess - BSI</t>
        </is>
      </c>
      <c r="F12" s="27" t="inlineStr">
        <is>
          <t>Off-Premises</t>
        </is>
      </c>
      <c r="G12" s="27" t="inlineStr">
        <is>
          <t>High</t>
        </is>
      </c>
      <c r="H12" s="27" t="inlineStr">
        <is>
          <t>03:00:00</t>
        </is>
      </c>
      <c r="J12" s="27" t="inlineStr">
        <is>
          <t>0 - 8 hours</t>
        </is>
      </c>
      <c r="K12" s="27" t="inlineStr">
        <is>
          <t>4 - 8 hours</t>
        </is>
      </c>
      <c r="L12" s="27" t="inlineStr">
        <is>
          <t>Successful</t>
        </is>
      </c>
      <c r="M12" s="27" t="inlineStr">
        <is>
          <t>Jose Manuel Oliveros</t>
        </is>
      </c>
      <c r="N12" s="27" t="inlineStr">
        <is>
          <t>Cesar Rubio</t>
        </is>
      </c>
      <c r="O12" s="27" t="inlineStr">
        <is>
          <t>Successful</t>
        </is>
      </c>
      <c r="P12" s="27" t="inlineStr">
        <is>
          <t>Validated</t>
        </is>
      </c>
      <c r="Q12" s="27" t="inlineStr">
        <is>
          <t>10/22/2024</t>
        </is>
      </c>
      <c r="S12" s="27" t="inlineStr">
        <is>
          <t>Jorge Fraga</t>
        </is>
      </c>
      <c r="T12" s="27" t="inlineStr">
        <is>
          <t>06/27/2025, 4:54 PM</t>
        </is>
      </c>
      <c r="U12" s="27" t="inlineStr">
        <is>
          <t>Cesar Vidal</t>
        </is>
      </c>
      <c r="V12" s="27" t="inlineStr">
        <is>
          <t>06/27/2025, 4:54 PM</t>
        </is>
      </c>
      <c r="W12" s="27" t="inlineStr">
        <is>
          <t>Cesar Vidal</t>
        </is>
      </c>
      <c r="X12" s="27" t="inlineStr">
        <is>
          <t>Banco Santander International</t>
        </is>
      </c>
      <c r="Y12" s="27" t="inlineStr">
        <is>
          <t>Banco Santander International</t>
        </is>
      </c>
      <c r="Z12" s="27" t="inlineStr">
        <is>
          <t>Banco Santander International</t>
        </is>
      </c>
    </row>
    <row r="13" customFormat="1" s="27">
      <c r="A13" s="27" t="inlineStr">
        <is>
          <t>1870</t>
        </is>
      </c>
      <c r="B13" s="27" t="inlineStr">
        <is>
          <t>2024 Full 2024 DR Test (Virginia)</t>
        </is>
      </c>
      <c r="C13" s="27" t="inlineStr">
        <is>
          <t>10/19/2024</t>
        </is>
      </c>
      <c r="D13" s="27" t="inlineStr">
        <is>
          <t>Fedline Web - BSI - 2024 Full 2024 DR Test (Virginia)</t>
        </is>
      </c>
      <c r="E13" s="27" t="inlineStr">
        <is>
          <t>Fedline Web - BSI</t>
        </is>
      </c>
      <c r="F13" s="27" t="inlineStr">
        <is>
          <t>Off-Premises</t>
        </is>
      </c>
      <c r="G13" s="27" t="inlineStr">
        <is>
          <t>High</t>
        </is>
      </c>
      <c r="H13" s="27" t="inlineStr">
        <is>
          <t>02:22:00</t>
        </is>
      </c>
      <c r="J13" s="27" t="inlineStr">
        <is>
          <t>0 - 8 hours</t>
        </is>
      </c>
      <c r="K13" s="27" t="inlineStr">
        <is>
          <t>8 - 24 hours</t>
        </is>
      </c>
      <c r="L13" s="27" t="inlineStr">
        <is>
          <t>Successful</t>
        </is>
      </c>
      <c r="M13" s="27" t="inlineStr">
        <is>
          <t>Jose Manuel Oliveros</t>
        </is>
      </c>
      <c r="N13" s="27" t="inlineStr">
        <is>
          <t>Cesar Rubio</t>
        </is>
      </c>
      <c r="O13" s="27" t="inlineStr">
        <is>
          <t>Successful</t>
        </is>
      </c>
      <c r="P13" s="27" t="inlineStr">
        <is>
          <t>Validated</t>
        </is>
      </c>
      <c r="Q13" s="27" t="inlineStr">
        <is>
          <t>10/22/2024</t>
        </is>
      </c>
      <c r="S13" s="27" t="inlineStr">
        <is>
          <t>Jorge Fraga</t>
        </is>
      </c>
      <c r="T13" s="27" t="inlineStr">
        <is>
          <t>06/27/2025, 4:51 PM</t>
        </is>
      </c>
      <c r="U13" s="27" t="inlineStr">
        <is>
          <t>Cesar Vidal</t>
        </is>
      </c>
      <c r="V13" s="27" t="inlineStr">
        <is>
          <t>06/27/2025, 4:53 PM</t>
        </is>
      </c>
      <c r="W13" s="27" t="inlineStr">
        <is>
          <t>Cesar Vidal</t>
        </is>
      </c>
      <c r="X13" s="27" t="inlineStr">
        <is>
          <t>Banco Santander International</t>
        </is>
      </c>
      <c r="Y13" s="27" t="inlineStr">
        <is>
          <t>Banco Santander International</t>
        </is>
      </c>
      <c r="Z13" s="27" t="inlineStr">
        <is>
          <t>Banco Santander International</t>
        </is>
      </c>
    </row>
    <row r="14" customFormat="1" s="27">
      <c r="A14" s="27" t="inlineStr">
        <is>
          <t>3290</t>
        </is>
      </c>
      <c r="B14" s="27" t="inlineStr">
        <is>
          <t>2024 Full 2024 DR Test (Virginia)</t>
        </is>
      </c>
      <c r="C14" s="27" t="inlineStr">
        <is>
          <t>10/19/2024</t>
        </is>
      </c>
      <c r="D14" s="27" t="inlineStr">
        <is>
          <t>Euroclear EasyWay - BSI - 2024 Full 2024 DR Test (Virginia)</t>
        </is>
      </c>
      <c r="E14" s="27" t="inlineStr">
        <is>
          <t>Euroclear EasyWay - BSI</t>
        </is>
      </c>
      <c r="F14" s="27" t="inlineStr">
        <is>
          <t>Off-Premises</t>
        </is>
      </c>
      <c r="G14" s="27" t="inlineStr">
        <is>
          <t>High</t>
        </is>
      </c>
      <c r="H14" s="27" t="inlineStr">
        <is>
          <t>03:08:00</t>
        </is>
      </c>
      <c r="J14" s="27" t="inlineStr">
        <is>
          <t>0 - 8 hours</t>
        </is>
      </c>
      <c r="K14" s="27" t="inlineStr">
        <is>
          <t>8 - 24 hours</t>
        </is>
      </c>
      <c r="L14" s="27" t="inlineStr">
        <is>
          <t>Successful</t>
        </is>
      </c>
      <c r="M14" s="27" t="inlineStr">
        <is>
          <t>Jose Manuel Oliveros</t>
        </is>
      </c>
      <c r="N14" s="27" t="inlineStr">
        <is>
          <t>Cesar Rubio</t>
        </is>
      </c>
      <c r="O14" s="27" t="inlineStr">
        <is>
          <t>Successful</t>
        </is>
      </c>
      <c r="P14" s="27" t="inlineStr">
        <is>
          <t>Validated</t>
        </is>
      </c>
      <c r="Q14" s="27" t="inlineStr">
        <is>
          <t>10/22/2024</t>
        </is>
      </c>
      <c r="S14" s="27" t="inlineStr">
        <is>
          <t>Jorge Fraga</t>
        </is>
      </c>
      <c r="T14" s="27" t="inlineStr">
        <is>
          <t>06/24/2025, 1:18 PM</t>
        </is>
      </c>
      <c r="U14" s="27" t="inlineStr">
        <is>
          <t>Cesar Vidal</t>
        </is>
      </c>
      <c r="V14" s="27" t="inlineStr">
        <is>
          <t>06/24/2025, 3:32 PM</t>
        </is>
      </c>
      <c r="W14" s="27" t="inlineStr">
        <is>
          <t>Cesar Vidal</t>
        </is>
      </c>
      <c r="X14" s="27" t="inlineStr">
        <is>
          <t>Banco Santander International</t>
        </is>
      </c>
      <c r="Y14" s="27" t="inlineStr">
        <is>
          <t>Banco Santander International</t>
        </is>
      </c>
      <c r="Z14" s="27" t="inlineStr">
        <is>
          <t>Banco Santander International</t>
        </is>
      </c>
    </row>
    <row r="15" customFormat="1" s="27">
      <c r="A15" s="27" t="inlineStr">
        <is>
          <t>1856</t>
        </is>
      </c>
      <c r="B15" s="27" t="inlineStr">
        <is>
          <t>2024 Full 2024 DR Test (Virginia)</t>
        </is>
      </c>
      <c r="C15" s="27" t="inlineStr">
        <is>
          <t>10/19/2024</t>
        </is>
      </c>
      <c r="D15" s="27" t="inlineStr">
        <is>
          <t>DTCC - BSI - 2024 Full 2024 DR Test (Virginia)</t>
        </is>
      </c>
      <c r="E15" s="27" t="inlineStr">
        <is>
          <t>DTCC - BSI</t>
        </is>
      </c>
      <c r="F15" s="27" t="inlineStr">
        <is>
          <t>Off-Premises</t>
        </is>
      </c>
      <c r="G15" s="27" t="inlineStr">
        <is>
          <t>High</t>
        </is>
      </c>
      <c r="H15" s="27" t="inlineStr">
        <is>
          <t>04:06:00</t>
        </is>
      </c>
      <c r="J15" s="27" t="inlineStr">
        <is>
          <t>0 - 8 hours</t>
        </is>
      </c>
      <c r="K15" s="27" t="inlineStr">
        <is>
          <t>8 - 24 hours</t>
        </is>
      </c>
      <c r="L15" s="27" t="inlineStr">
        <is>
          <t>Successful</t>
        </is>
      </c>
      <c r="M15" s="27" t="inlineStr">
        <is>
          <t>Jose Manuel Oliveros</t>
        </is>
      </c>
      <c r="N15" s="27" t="inlineStr">
        <is>
          <t>Cesar Rubio</t>
        </is>
      </c>
      <c r="O15" s="27" t="inlineStr">
        <is>
          <t>Successful</t>
        </is>
      </c>
      <c r="P15" s="27" t="inlineStr">
        <is>
          <t>Validated</t>
        </is>
      </c>
      <c r="Q15" s="27" t="inlineStr">
        <is>
          <t>10/22/2024</t>
        </is>
      </c>
      <c r="S15" s="27" t="inlineStr">
        <is>
          <t>Jorge Fraga</t>
        </is>
      </c>
      <c r="T15" s="27" t="inlineStr">
        <is>
          <t>06/24/2025, 1:14 PM</t>
        </is>
      </c>
      <c r="U15" s="27" t="inlineStr">
        <is>
          <t>Cesar Vidal</t>
        </is>
      </c>
      <c r="V15" s="27" t="inlineStr">
        <is>
          <t>06/24/2025, 1:18 PM</t>
        </is>
      </c>
      <c r="W15" s="27" t="inlineStr">
        <is>
          <t>Cesar Vidal</t>
        </is>
      </c>
      <c r="X15" s="27" t="inlineStr">
        <is>
          <t>Banco Santander International</t>
        </is>
      </c>
      <c r="Y15" s="27" t="inlineStr">
        <is>
          <t>Banco Santander International</t>
        </is>
      </c>
      <c r="Z15" s="27" t="inlineStr">
        <is>
          <t>Banco Santander International</t>
        </is>
      </c>
    </row>
    <row r="16" customFormat="1" s="27">
      <c r="A16" s="27" t="inlineStr">
        <is>
          <t>4569</t>
        </is>
      </c>
      <c r="B16" s="27" t="inlineStr">
        <is>
          <t>2024 Full 2024 DR Test (Virginia)</t>
        </is>
      </c>
      <c r="C16" s="27" t="inlineStr">
        <is>
          <t>10/19/2024</t>
        </is>
      </c>
      <c r="D16" s="27" t="inlineStr">
        <is>
          <t>Appian BSI - Workflows - 2024 Full 2024 DR Test (Virginia)</t>
        </is>
      </c>
      <c r="E16" s="27" t="inlineStr">
        <is>
          <t>Appian BSI - Workflows</t>
        </is>
      </c>
      <c r="F16" s="27" t="inlineStr">
        <is>
          <t>On-Premises</t>
        </is>
      </c>
      <c r="G16" s="27" t="inlineStr">
        <is>
          <t>High</t>
        </is>
      </c>
      <c r="H16" s="27" t="inlineStr">
        <is>
          <t>02:00:00</t>
        </is>
      </c>
      <c r="J16" s="27" t="inlineStr">
        <is>
          <t>0 - 8 hours</t>
        </is>
      </c>
      <c r="K16" s="27" t="inlineStr">
        <is>
          <t>4 - 8 hours</t>
        </is>
      </c>
      <c r="L16" s="27" t="inlineStr">
        <is>
          <t>Successful</t>
        </is>
      </c>
      <c r="M16" s="27" t="inlineStr">
        <is>
          <t>Jose Manuel Oliveros</t>
        </is>
      </c>
      <c r="N16" s="27" t="inlineStr">
        <is>
          <t>Cesar Rubio</t>
        </is>
      </c>
      <c r="O16" s="27" t="inlineStr">
        <is>
          <t>Successful</t>
        </is>
      </c>
      <c r="P16" s="27" t="inlineStr">
        <is>
          <t>Validated</t>
        </is>
      </c>
      <c r="Q16" s="27" t="inlineStr">
        <is>
          <t>10/22/2024</t>
        </is>
      </c>
      <c r="S16" s="27" t="inlineStr">
        <is>
          <t>Cesar Vidal</t>
        </is>
      </c>
      <c r="T16" s="27" t="inlineStr">
        <is>
          <t>11/07/2024, 3:53 PM</t>
        </is>
      </c>
      <c r="U16" s="27" t="inlineStr">
        <is>
          <t>Cesar Vidal</t>
        </is>
      </c>
      <c r="V16" s="27" t="inlineStr">
        <is>
          <t>11/07/2024, 3:54 PM</t>
        </is>
      </c>
      <c r="W16" s="27" t="inlineStr">
        <is>
          <t>Cesar Vidal</t>
        </is>
      </c>
      <c r="X16" s="27" t="inlineStr">
        <is>
          <t>Banco Santander International</t>
        </is>
      </c>
      <c r="Y16" s="27" t="inlineStr">
        <is>
          <t>Banco Santander International</t>
        </is>
      </c>
      <c r="Z16" s="27" t="inlineStr">
        <is>
          <t>Banco Santander International</t>
        </is>
      </c>
      <c r="AA16" s="27"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27">
      <c r="A18" s="27" t="inlineStr">
        <is>
          <t>1871</t>
        </is>
      </c>
      <c r="B18" s="27" t="inlineStr">
        <is>
          <t>2024 Full 2024 DR Test (Virginia)</t>
        </is>
      </c>
      <c r="C18" s="27" t="inlineStr">
        <is>
          <t>10/19/2024</t>
        </is>
      </c>
      <c r="D18" s="27" t="inlineStr">
        <is>
          <t>Fedlink - BSI - 2024 Full 2024 DR Test (Virginia)</t>
        </is>
      </c>
      <c r="E18" s="27" t="inlineStr">
        <is>
          <t>Fedlink - BSI</t>
        </is>
      </c>
      <c r="F18" s="27" t="inlineStr">
        <is>
          <t>On-Premises</t>
        </is>
      </c>
      <c r="G18" s="27" t="inlineStr">
        <is>
          <t>High</t>
        </is>
      </c>
      <c r="H18" s="27" t="inlineStr">
        <is>
          <t>03:59:00</t>
        </is>
      </c>
      <c r="J18" s="27" t="inlineStr">
        <is>
          <t>0 - 8 hours</t>
        </is>
      </c>
      <c r="K18" s="27" t="inlineStr">
        <is>
          <t>4 - 8 hours</t>
        </is>
      </c>
      <c r="L18" s="27" t="inlineStr">
        <is>
          <t>Successful</t>
        </is>
      </c>
      <c r="M18" s="27" t="inlineStr">
        <is>
          <t>Jose Manuel Oliveros</t>
        </is>
      </c>
      <c r="N18" s="27" t="inlineStr">
        <is>
          <t>Cesar Rubio</t>
        </is>
      </c>
      <c r="O18" s="27" t="inlineStr">
        <is>
          <t>Successful</t>
        </is>
      </c>
      <c r="P18" s="27" t="inlineStr">
        <is>
          <t>Validated</t>
        </is>
      </c>
      <c r="Q18" s="27" t="inlineStr">
        <is>
          <t>10/22/2024</t>
        </is>
      </c>
      <c r="T18" s="27" t="inlineStr">
        <is>
          <t>10/24/2024, 11:35 AM</t>
        </is>
      </c>
      <c r="U18" s="27" t="inlineStr">
        <is>
          <t>Jorge Fraga</t>
        </is>
      </c>
      <c r="V18" s="27" t="inlineStr">
        <is>
          <t>10/24/2024, 11:37 AM</t>
        </is>
      </c>
      <c r="W18" s="27" t="inlineStr">
        <is>
          <t>Jorge Fraga</t>
        </is>
      </c>
      <c r="X18" s="27" t="inlineStr">
        <is>
          <t>Banco Santander International</t>
        </is>
      </c>
      <c r="Y18" s="27" t="inlineStr">
        <is>
          <t>Banco Santander International</t>
        </is>
      </c>
      <c r="Z18" s="27" t="inlineStr">
        <is>
          <t>Banco Santander International</t>
        </is>
      </c>
      <c r="AA18" s="27" t="inlineStr">
        <is>
          <t>GLBA</t>
        </is>
      </c>
    </row>
    <row r="19" customFormat="1" s="27"/>
    <row r="20" customFormat="1" s="27"/>
    <row r="21" customFormat="1" s="27"/>
    <row r="22" customFormat="1" s="27"/>
    <row r="23" customFormat="1" s="27"/>
    <row r="24" customFormat="1" s="27"/>
    <row r="25" customFormat="1" s="27"/>
    <row r="26" customFormat="1" s="27"/>
    <row r="27" customFormat="1" s="27"/>
    <row r="28" customFormat="1" s="27"/>
    <row r="29" customFormat="1" s="27"/>
    <row r="30" customFormat="1" s="27"/>
    <row r="31" customFormat="1" s="27"/>
    <row r="32" customFormat="1" s="27"/>
    <row r="33" customFormat="1" s="27"/>
    <row r="34" customFormat="1" s="27"/>
    <row r="35" customFormat="1" s="27"/>
    <row r="36" customFormat="1" s="27"/>
    <row r="37" customFormat="1" s="27"/>
    <row r="38" customFormat="1" s="27"/>
    <row r="39" customFormat="1" s="27"/>
    <row r="40" customFormat="1" s="27"/>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2026-09-25T01:58:11Z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