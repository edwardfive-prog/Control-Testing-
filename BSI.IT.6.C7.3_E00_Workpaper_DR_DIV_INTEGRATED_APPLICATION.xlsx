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280" yWindow="-120" windowWidth="77040" windowHeight="21120" tabRatio="600" firstSheet="1" activeTab="3" autoFilterDateGrouping="1"/>
  </bookViews>
  <sheets>
    <sheet name="WP Summary" sheetId="1" state="visible" r:id="rId1"/>
    <sheet name="Scope Population" sheetId="2" state="visible" r:id="rId2"/>
    <sheet name="Application Attribute Testing-1" sheetId="3" state="hidden" r:id="rId3"/>
    <sheet name="Application Attribute Testing" sheetId="4" state="visible" r:id="rId4"/>
    <sheet name="BSI.IT.6.C7.3 Evidence Map" sheetId="5" state="hidden" r:id="rId5"/>
    <sheet name="BSI.IT.6.C7.3 Evidence Index" sheetId="6" state="hidden" r:id="rId6"/>
    <sheet name="DR 2024 Testing Results" sheetId="7" state="visible" r:id="rId7"/>
  </sheets>
  <definedNames>
    <definedName name="_xlnm._FilterDatabase" localSheetId="5"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38">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i val="1"/>
      <color rgb="FF7F6000"/>
      <sz val="9"/>
    </font>
    <font>
      <name val="Carlito"/>
      <b val="1"/>
      <color rgb="FF1F4E78"/>
      <sz val="11"/>
    </font>
    <font>
      <name val="Carlito"/>
      <b val="1"/>
      <color rgb="FF385723"/>
      <sz val="11"/>
    </font>
    <font>
      <name val="Carlito"/>
      <b val="1"/>
      <color rgb="FFFFFFFF"/>
      <sz val="12"/>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
      <name val="Carlito"/>
      <b val="1"/>
      <color theme="3"/>
      <sz val="14"/>
    </font>
    <font>
      <name val="Carlito"/>
      <color theme="3"/>
      <sz val="11"/>
    </font>
    <font>
      <name val="Carlito"/>
      <b val="1"/>
      <color theme="3"/>
      <sz val="11"/>
    </font>
    <font>
      <name val="Carlito"/>
      <color theme="3"/>
      <sz val="10"/>
    </font>
    <font>
      <name val="Carlito"/>
      <color theme="3"/>
      <sz val="14"/>
    </font>
    <font>
      <name val="Aptos Narrow"/>
      <family val="2"/>
      <color rgb="FF000000"/>
      <sz val="11"/>
    </font>
    <font>
      <name val="Carlito"/>
      <b val="1"/>
      <color rgb="FF0563C1"/>
      <sz val="9"/>
      <u val="single"/>
    </font>
    <font>
      <name val="Carlito"/>
      <i val="1"/>
      <sz val="9"/>
    </font>
    <font>
      <name val="Carlito"/>
      <color rgb="FF0563C1"/>
      <sz val="9"/>
      <u val="single"/>
    </font>
    <font>
      <name val="Carlito"/>
      <b val="1"/>
      <color rgb="FF0563C1"/>
      <sz val="10"/>
      <u val="single"/>
    </font>
  </fonts>
  <fills count="21">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FFF2CC"/>
        <bgColor rgb="FFFFFFFF"/>
      </patternFill>
    </fill>
    <fill>
      <patternFill patternType="solid">
        <fgColor rgb="FFD9EAF7"/>
        <bgColor rgb="FFFFFFFF"/>
      </patternFill>
    </fill>
    <fill>
      <patternFill patternType="solid">
        <fgColor rgb="FFE2F0D9"/>
        <bgColor rgb="FFFFFFFF"/>
      </patternFill>
    </fill>
    <fill>
      <patternFill patternType="solid">
        <fgColor rgb="FFEDEDED"/>
        <bgColor rgb="FFFFFFFF"/>
      </patternFill>
    </fill>
    <fill>
      <patternFill patternType="solid">
        <fgColor rgb="FFC6EFCE"/>
      </patternFill>
    </fill>
  </fills>
  <borders count="18">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indexed="64"/>
      </top>
      <bottom/>
      <diagonal/>
    </border>
    <border>
      <left/>
      <right style="thin">
        <color indexed="64"/>
      </right>
      <top style="thin">
        <color indexed="64"/>
      </top>
      <bottom/>
      <diagonal/>
    </border>
    <border>
      <left style="thin">
        <color rgb="FFBFBFBF"/>
      </left>
      <right style="thin">
        <color rgb="FFBFBFBF"/>
      </right>
      <top style="thin">
        <color rgb="FFBFBFBF"/>
      </top>
      <bottom style="thin">
        <color rgb="FFBFBFBF"/>
      </bottom>
    </border>
  </borders>
  <cellStyleXfs count="1">
    <xf numFmtId="0" fontId="0" fillId="0" borderId="9"/>
  </cellStyleXfs>
  <cellXfs count="92">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7" borderId="0" applyAlignment="1" pivotButton="0" quotePrefix="0" xfId="0">
      <alignment wrapText="1"/>
    </xf>
    <xf numFmtId="0" fontId="21" fillId="5" borderId="0" applyAlignment="1" pivotButton="0" quotePrefix="0" xfId="0">
      <alignment horizontal="center" wrapText="1"/>
    </xf>
    <xf numFmtId="0" fontId="8" fillId="0" borderId="0" applyAlignment="1" pivotButton="0" quotePrefix="0" xfId="0">
      <alignment horizontal="center" wrapText="1"/>
    </xf>
    <xf numFmtId="0" fontId="23" fillId="0" borderId="0" pivotButton="0" quotePrefix="0" xfId="0"/>
    <xf numFmtId="0" fontId="7" fillId="9" borderId="11" applyAlignment="1" pivotButton="0" quotePrefix="0" xfId="0">
      <alignment horizontal="center" vertical="center" wrapText="1"/>
    </xf>
    <xf numFmtId="0" fontId="24" fillId="0" borderId="11" applyAlignment="1" pivotButton="0" quotePrefix="0" xfId="0">
      <alignment vertical="top" wrapText="1"/>
    </xf>
    <xf numFmtId="0" fontId="25" fillId="0" borderId="0" pivotButton="0" quotePrefix="0" xfId="0"/>
    <xf numFmtId="0" fontId="0" fillId="0" borderId="9" pivotButton="0" quotePrefix="0" xfId="0"/>
    <xf numFmtId="0" fontId="0" fillId="11" borderId="9" pivotButton="0" quotePrefix="0" xfId="0"/>
    <xf numFmtId="0" fontId="26" fillId="0" borderId="9" pivotButton="0" quotePrefix="0" xfId="0"/>
    <xf numFmtId="0" fontId="28" fillId="12" borderId="0" pivotButton="0" quotePrefix="0" xfId="0"/>
    <xf numFmtId="0" fontId="29" fillId="12" borderId="9" pivotButton="0" quotePrefix="0" xfId="0"/>
    <xf numFmtId="0" fontId="29" fillId="12" borderId="0" pivotButton="0" quotePrefix="0" xfId="0"/>
    <xf numFmtId="0" fontId="30" fillId="12" borderId="0" pivotButton="0" quotePrefix="0" xfId="0"/>
    <xf numFmtId="0" fontId="30" fillId="12" borderId="9" pivotButton="0" quotePrefix="0" xfId="0"/>
    <xf numFmtId="0" fontId="31" fillId="12" borderId="11" applyAlignment="1" pivotButton="0" quotePrefix="0" xfId="0">
      <alignment vertical="center" wrapText="1"/>
    </xf>
    <xf numFmtId="0" fontId="32" fillId="12" borderId="0" pivotButton="0" quotePrefix="0" xfId="0"/>
    <xf numFmtId="0" fontId="33" fillId="13" borderId="10" pivotButton="0" quotePrefix="0" xfId="0"/>
    <xf numFmtId="0" fontId="33" fillId="0" borderId="9" pivotButton="0" quotePrefix="0" xfId="0"/>
    <xf numFmtId="0" fontId="33" fillId="13" borderId="9" pivotButton="0" quotePrefix="0" xfId="0"/>
    <xf numFmtId="0" fontId="7" fillId="15" borderId="10" applyAlignment="1" pivotButton="0" quotePrefix="0" xfId="0">
      <alignment horizontal="center" vertical="center" wrapText="1"/>
    </xf>
    <xf numFmtId="0" fontId="33" fillId="0" borderId="10" pivotButton="0" quotePrefix="0" xfId="0"/>
    <xf numFmtId="0" fontId="13" fillId="13" borderId="10" applyAlignment="1" pivotButton="0" quotePrefix="0" xfId="0">
      <alignment vertical="top" wrapText="1"/>
    </xf>
    <xf numFmtId="0" fontId="14" fillId="13" borderId="10" applyAlignment="1" pivotButton="0" quotePrefix="0" xfId="0">
      <alignment horizontal="center" vertical="top" wrapText="1"/>
    </xf>
    <xf numFmtId="0" fontId="19" fillId="13" borderId="10" applyAlignment="1" pivotButton="0" quotePrefix="0" xfId="0">
      <alignment vertical="top" wrapText="1"/>
    </xf>
    <xf numFmtId="0" fontId="16" fillId="17" borderId="9" applyAlignment="1" pivotButton="0" quotePrefix="0" xfId="0">
      <alignment vertical="center"/>
    </xf>
    <xf numFmtId="0" fontId="16" fillId="17" borderId="9" applyAlignment="1" pivotButton="0" quotePrefix="0" xfId="0">
      <alignment vertical="center" wrapText="1"/>
    </xf>
    <xf numFmtId="0" fontId="17" fillId="18" borderId="9" applyAlignment="1" pivotButton="0" quotePrefix="0" xfId="0">
      <alignment horizontal="center" vertical="center"/>
    </xf>
    <xf numFmtId="0" fontId="33" fillId="0" borderId="9" applyAlignment="1" pivotButton="0" quotePrefix="0" xfId="0">
      <alignment wrapText="1"/>
    </xf>
    <xf numFmtId="0" fontId="33" fillId="0" borderId="9" applyAlignment="1" pivotButton="0" quotePrefix="0" xfId="0">
      <alignment vertical="center" wrapText="1"/>
    </xf>
    <xf numFmtId="0" fontId="3" fillId="15" borderId="10" applyAlignment="1" pivotButton="0" quotePrefix="0" xfId="0">
      <alignment horizontal="center" vertical="center" wrapText="1"/>
    </xf>
    <xf numFmtId="0" fontId="33" fillId="0" borderId="10" applyAlignment="1" pivotButton="0" quotePrefix="0" xfId="0">
      <alignment wrapText="1"/>
    </xf>
    <xf numFmtId="0" fontId="20" fillId="18" borderId="10" applyAlignment="1" pivotButton="0" quotePrefix="0" xfId="0">
      <alignment horizontal="center" wrapText="1"/>
    </xf>
    <xf numFmtId="9" fontId="33" fillId="0" borderId="10" applyAlignment="1" pivotButton="0" quotePrefix="0" xfId="0">
      <alignment wrapText="1"/>
    </xf>
    <xf numFmtId="0" fontId="33" fillId="0" borderId="10" applyAlignment="1" pivotButton="0" quotePrefix="0" xfId="0">
      <alignment vertical="center" wrapText="1"/>
    </xf>
    <xf numFmtId="0" fontId="22" fillId="16" borderId="10" applyAlignment="1" pivotButton="0" quotePrefix="0" xfId="0">
      <alignment vertical="center" wrapText="1"/>
    </xf>
    <xf numFmtId="9" fontId="33" fillId="0" borderId="10" applyAlignment="1" pivotButton="0" quotePrefix="0" xfId="0">
      <alignment vertical="center" wrapText="1"/>
    </xf>
    <xf numFmtId="0" fontId="22" fillId="16" borderId="10" applyAlignment="1" pivotButton="0" quotePrefix="0" xfId="0">
      <alignment wrapText="1"/>
    </xf>
    <xf numFmtId="0" fontId="20" fillId="18" borderId="10" applyAlignment="1" pivotButton="0" quotePrefix="0" xfId="0">
      <alignment wrapText="1"/>
    </xf>
    <xf numFmtId="0" fontId="5" fillId="16" borderId="10" applyAlignment="1" pivotButton="0" quotePrefix="0" xfId="0">
      <alignment horizontal="center" wrapText="1"/>
    </xf>
    <xf numFmtId="0" fontId="33" fillId="16" borderId="10" applyAlignment="1" pivotButton="0" quotePrefix="0" xfId="0">
      <alignment vertical="center" wrapText="1"/>
    </xf>
    <xf numFmtId="0" fontId="33" fillId="13" borderId="10" applyAlignment="1" pivotButton="0" quotePrefix="0" xfId="0">
      <alignment vertical="top" wrapText="1"/>
    </xf>
    <xf numFmtId="0" fontId="7" fillId="9" borderId="14" applyAlignment="1" pivotButton="0" quotePrefix="0" xfId="0">
      <alignment horizontal="center" vertical="center" wrapText="1"/>
    </xf>
    <xf numFmtId="0" fontId="24" fillId="10" borderId="14" applyAlignment="1" pivotButton="0" quotePrefix="0" xfId="0">
      <alignment horizontal="center" vertical="top" wrapText="1"/>
    </xf>
    <xf numFmtId="0" fontId="36" fillId="10" borderId="14" applyAlignment="1" pivotButton="0" quotePrefix="0" xfId="0">
      <alignment vertical="top" wrapText="1"/>
    </xf>
    <xf numFmtId="0" fontId="24" fillId="10" borderId="14" applyAlignment="1" pivotButton="0" quotePrefix="0" xfId="0">
      <alignment vertical="top" wrapText="1"/>
    </xf>
    <xf numFmtId="0" fontId="0" fillId="10" borderId="14" pivotButton="0" quotePrefix="0" xfId="0"/>
    <xf numFmtId="0" fontId="19" fillId="20" borderId="14" applyAlignment="1" pivotButton="0" quotePrefix="0" xfId="0">
      <alignment horizontal="center" vertical="top" wrapText="1"/>
    </xf>
    <xf numFmtId="0" fontId="35" fillId="10" borderId="14" applyAlignment="1" pivotButton="0" quotePrefix="0" xfId="0">
      <alignment horizontal="center" vertical="top" wrapText="1"/>
    </xf>
    <xf numFmtId="0" fontId="34" fillId="10" borderId="14" applyAlignment="1" pivotButton="0" quotePrefix="0" xfId="0">
      <alignment vertical="top" wrapText="1"/>
    </xf>
    <xf numFmtId="0" fontId="34" fillId="10" borderId="14" applyAlignment="1" pivotButton="0" quotePrefix="0" xfId="0">
      <alignment horizontal="center" vertical="top" wrapText="1"/>
    </xf>
    <xf numFmtId="0" fontId="37" fillId="12" borderId="11" applyAlignment="1" pivotButton="0" quotePrefix="0" xfId="0">
      <alignment vertical="center" wrapText="1"/>
    </xf>
    <xf numFmtId="0" fontId="18" fillId="8" borderId="0" applyAlignment="1" pivotButton="0" quotePrefix="0" xfId="0">
      <alignment vertical="center"/>
    </xf>
    <xf numFmtId="0" fontId="0" fillId="0" borderId="0" pivotButton="0" quotePrefix="0" xfId="0"/>
    <xf numFmtId="0" fontId="11" fillId="6" borderId="9" applyAlignment="1" pivotButton="0" quotePrefix="0" xfId="0">
      <alignment vertical="center" wrapText="1"/>
    </xf>
    <xf numFmtId="0" fontId="1" fillId="2" borderId="9" applyAlignment="1" pivotButton="0" quotePrefix="0" xfId="0">
      <alignment horizontal="left" vertical="center" wrapText="1"/>
    </xf>
    <xf numFmtId="0" fontId="8" fillId="0" borderId="9" applyAlignment="1" pivotButton="0" quotePrefix="0" xfId="0">
      <alignment vertical="top" wrapText="1"/>
    </xf>
    <xf numFmtId="0" fontId="6"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15" fillId="16" borderId="9" applyAlignment="1" pivotButton="0" quotePrefix="0" xfId="0">
      <alignment vertical="center" wrapText="1"/>
    </xf>
    <xf numFmtId="0" fontId="33" fillId="0" borderId="9" pivotButton="0" quotePrefix="0" xfId="0"/>
    <xf numFmtId="0" fontId="1" fillId="14" borderId="10" applyAlignment="1" pivotButton="0" quotePrefix="0" xfId="0">
      <alignment horizontal="left" vertical="center"/>
    </xf>
    <xf numFmtId="0" fontId="0" fillId="0" borderId="12" pivotButton="0" quotePrefix="0" xfId="0"/>
    <xf numFmtId="0" fontId="0" fillId="0" borderId="13" pivotButton="0" quotePrefix="0" xfId="0"/>
    <xf numFmtId="0" fontId="27" fillId="19" borderId="9" applyAlignment="1" pivotButton="0" quotePrefix="0" xfId="0">
      <alignment vertical="top" wrapText="1"/>
    </xf>
    <xf numFmtId="0" fontId="0" fillId="0" borderId="9" applyAlignment="1" pivotButton="0" quotePrefix="0" xfId="0">
      <alignment vertical="top" wrapText="1"/>
    </xf>
    <xf numFmtId="0" fontId="18" fillId="8" borderId="9" applyAlignment="1" pivotButton="0" quotePrefix="0" xfId="0">
      <alignment vertical="center"/>
    </xf>
    <xf numFmtId="0" fontId="36" fillId="13" borderId="10" applyAlignment="1" pivotButton="0" quotePrefix="0" xfId="0">
      <alignment vertical="top" wrapText="1"/>
    </xf>
    <xf numFmtId="0" fontId="7" fillId="9" borderId="0" applyAlignment="1" pivotButton="0" quotePrefix="0" xfId="0">
      <alignment horizontal="center" vertical="center" wrapText="1"/>
    </xf>
    <xf numFmtId="0" fontId="34" fillId="20" borderId="17" applyAlignment="1" pivotButton="0" quotePrefix="0" xfId="0">
      <alignment horizontal="center" vertical="top"/>
    </xf>
    <xf numFmtId="0" fontId="36" fillId="10" borderId="17" applyAlignment="1" pivotButton="0" quotePrefix="0" xfId="0">
      <alignment horizontal="center" vertical="top"/>
    </xf>
  </cellXfs>
  <cellStyles count="1">
    <cellStyle name="Normal" xfId="0" builtinId="0"/>
  </cellStyles>
  <dxfs count="20">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K12" headerRowCount="1" totalsRowShown="0" headerRowDxfId="12" dataDxfId="11">
  <tableColumns count="11">
    <tableColumn id="1" name="Sample ID" dataDxfId="10"/>
    <tableColumn id="2" name="IT DR exercise name" dataDxfId="9"/>
    <tableColumn id="11" name="IT DR exercise name, was the excercise annually executed?" dataDxfId="8"/>
    <tableColumn id="3" name="Application Name"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24"/>
  <sheetViews>
    <sheetView workbookViewId="0">
      <selection activeCell="D10" sqref="D10"/>
    </sheetView>
  </sheetViews>
  <sheetFormatPr baseColWidth="8" defaultRowHeight="14"/>
  <cols>
    <col width="10" customWidth="1" style="73" min="1" max="1"/>
    <col width="38" customWidth="1" style="73" min="2" max="2"/>
    <col width="30" customWidth="1" style="73" min="3" max="3"/>
    <col width="28" customWidth="1" style="73" min="4" max="4"/>
    <col width="30" customWidth="1" style="73" min="5" max="6"/>
    <col width="14" customWidth="1" style="73" min="7" max="7"/>
    <col width="34" customWidth="1" style="73" min="8" max="8"/>
  </cols>
  <sheetData>
    <row r="1" ht="16" customHeight="1" s="73">
      <c r="A1" s="75" t="inlineStr">
        <is>
          <t>BSI.IT.6.C7 – DR Data Integrity Validation Testing Workpaper</t>
        </is>
      </c>
    </row>
    <row r="2" ht="16" customHeight="1" s="73"/>
    <row r="3">
      <c r="A3" s="17" t="n"/>
      <c r="B3" s="17" t="n"/>
      <c r="C3" s="17" t="n"/>
      <c r="D3" s="17" t="n"/>
      <c r="E3" s="17" t="n"/>
      <c r="F3" s="17" t="n"/>
      <c r="G3" s="17" t="n"/>
      <c r="H3" s="17" t="n"/>
    </row>
    <row r="4" ht="21.15" customHeight="1" s="73">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73">
      <c r="A5" s="16" t="inlineStr">
        <is>
          <t>Review Period</t>
        </is>
      </c>
      <c r="B5" s="17" t="inlineStr">
        <is>
          <t>08/01/2025 - 06/01/2026</t>
        </is>
      </c>
      <c r="C5" s="17" t="n"/>
      <c r="D5" s="17" t="inlineStr">
        <is>
          <t>In-scope applications tested</t>
        </is>
      </c>
      <c r="E5" s="22" t="n">
        <v>10</v>
      </c>
      <c r="F5" s="22" t="n">
        <v>1</v>
      </c>
      <c r="G5" s="22" t="n">
        <v>0</v>
      </c>
      <c r="H5" s="19" t="inlineStr">
        <is>
          <t>PASS</t>
        </is>
      </c>
    </row>
    <row r="6" ht="21.15" customHeight="1" s="73">
      <c r="A6" s="16" t="inlineStr">
        <is>
          <t>Scope Entity</t>
        </is>
      </c>
      <c r="B6" s="17" t="inlineStr">
        <is>
          <t>BSI</t>
        </is>
      </c>
      <c r="C6" s="17" t="n"/>
      <c r="D6" s="17" t="inlineStr">
        <is>
          <t>DIV records tested</t>
        </is>
      </c>
      <c r="E6" s="22" t="n">
        <v>56</v>
      </c>
      <c r="F6" s="22" t="n">
        <v>56</v>
      </c>
      <c r="G6" s="22" t="n">
        <v>0</v>
      </c>
      <c r="H6" s="19" t="inlineStr">
        <is>
          <t>PASS</t>
        </is>
      </c>
    </row>
    <row r="7" ht="21.15" customHeight="1" s="73">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73">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73">
      <c r="A9" s="16" t="inlineStr">
        <is>
          <t>Source 1</t>
        </is>
      </c>
      <c r="B9" s="17" t="inlineStr">
        <is>
          <t>MA01 – BSI.IT.6.C7.3-Evidences\01_Management_Attestation_In-Scope_Applications\MA01_BSI In-Scope Applications-2026.png; E01 – BSI.IT.6.C7.3-Evidences\04_Data_Integrity_and_Email_Testing_Evidence\BSI.IT.6.C7.3_E01_Applications In Scope for DR Test BSI (13).xlsx</t>
        </is>
      </c>
      <c r="C9" s="17" t="n"/>
      <c r="D9" s="17" t="n"/>
      <c r="E9" s="17" t="n"/>
      <c r="F9" s="17" t="n"/>
      <c r="G9" s="17" t="n"/>
      <c r="H9" s="17" t="n"/>
    </row>
    <row r="10" ht="88" customHeight="1" s="73">
      <c r="A10" s="16" t="inlineStr">
        <is>
          <t>Source 2</t>
        </is>
      </c>
      <c r="B10" s="17"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74"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73">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 BSI.IT.6.C7.3-Evidences\01_Management_Attestation_In-Scope_Applications\MA01_BSI In-Scope Applications-2026.png; E01 –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73">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 BSI.IT.6.C7.3-Evidences\04_Data_Integrity_and_Email_Testing_Evidence\BSI.IT.6.C7.3_E03_All Data Integrity Validation Testing_FV.xls; E16b; BLA01–BLA05 (BSI.IT.6.C7.3-Evidences\02_Business_Line_Approval_Results_Email)</t>
        </is>
      </c>
      <c r="G15" s="19" t="inlineStr">
        <is>
          <t>PASS</t>
        </is>
      </c>
      <c r="H15" s="17" t="inlineStr">
        <is>
          <t>DIV testing was completed for the full in-scope population.</t>
        </is>
      </c>
    </row>
    <row r="16" ht="44.9" customHeight="1" s="73">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 approval timing (33 post-period; 13 confirmed retrospectively) and self-approval noted; see Application + Attribute Testing – Observations.</t>
        </is>
      </c>
      <c r="F16" s="17" t="inlineStr">
        <is>
          <t>BLA01–BLA06 (BSI.IT.6.C7.3-Evidences\02_Business_Line_Approval_Results_Email); DMA01–DMA12 (BSI.IT.6.C7.3-Evidences\03_DIV_Manager_Attestation_Email_Approvals); E09; E03 approval fields</t>
        </is>
      </c>
      <c r="G16" s="19" t="inlineStr">
        <is>
          <t>PASS – with observations</t>
        </is>
      </c>
      <c r="H16" s="17" t="inlineStr">
        <is>
          <t>Business line management approval was appropriately obtained.</t>
        </is>
      </c>
    </row>
    <row r="17" ht="44.9" customHeight="1" s="73">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73">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inlineStr">
        <is>
          <t>OBSERVATION</t>
        </is>
      </c>
      <c r="H18" s="17" t="inlineStr">
        <is>
          <t>Attestation blanks are noted as observations and do not change the management approval conclusion.</t>
        </is>
      </c>
    </row>
    <row r="19">
      <c r="A19" s="17" t="n"/>
      <c r="B19" s="17" t="n"/>
      <c r="C19" s="17" t="n"/>
      <c r="D19" s="17" t="n"/>
      <c r="E19" s="17" t="n"/>
      <c r="F19" s="17" t="n"/>
      <c r="G19" s="17" t="n"/>
      <c r="H19" s="17" t="n"/>
    </row>
    <row r="20">
      <c r="A20" s="74" t="inlineStr">
        <is>
          <t>Overall Conclusion</t>
        </is>
      </c>
    </row>
    <row r="21" ht="62.4" customHeight="1" s="73">
      <c r="A21" s="76"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3"/>
    <row r="23" ht="20.5" customHeight="1" s="73"/>
    <row r="24" ht="20.5" customHeight="1" s="73"/>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E25" sqref="E25"/>
    </sheetView>
  </sheetViews>
  <sheetFormatPr baseColWidth="8" defaultRowHeight="14"/>
  <cols>
    <col width="14" customWidth="1" style="73" min="1" max="1"/>
    <col width="28" customWidth="1" style="73" min="2" max="2"/>
    <col width="14" customWidth="1" style="73" min="3" max="4"/>
    <col width="18" customWidth="1" style="73" min="5" max="5"/>
    <col width="20" customWidth="1" style="73" min="6" max="6"/>
    <col width="18" customWidth="1" style="73" min="7" max="7"/>
    <col width="16" customWidth="1" style="73" min="8" max="8"/>
  </cols>
  <sheetData>
    <row r="1">
      <c r="A1" s="78" t="inlineStr">
        <is>
          <t>In-Scope DR Applications – BSI</t>
        </is>
      </c>
    </row>
    <row r="2"/>
    <row r="3"/>
    <row r="4" ht="22" customHeight="1" s="73">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5"/>
    <row r="16">
      <c r="A16" s="10" t="inlineStr">
        <is>
          <t>Control Totals</t>
        </is>
      </c>
      <c r="B16" s="10" t="n"/>
      <c r="C16" s="10" t="n"/>
      <c r="D16" s="10" t="n"/>
      <c r="E16" s="10" t="n"/>
      <c r="F16" s="10" t="n"/>
      <c r="G16" s="1" t="inlineStr">
        <is>
          <t>Total DIV Records</t>
        </is>
      </c>
      <c r="H16" s="15">
        <f>SUM(G5:G14)</f>
        <v/>
      </c>
    </row>
    <row r="17"/>
    <row r="18">
      <c r="A18" s="77" t="inlineStr">
        <is>
          <t>Source / Scope Note</t>
        </is>
      </c>
    </row>
    <row r="19">
      <c r="A19" s="79"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79"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38"/>
  <sheetViews>
    <sheetView workbookViewId="0">
      <pane ySplit="2" topLeftCell="A3" activePane="bottomLeft" state="frozen"/>
      <selection activeCell="A2" sqref="A2"/>
      <selection pane="bottomLeft" activeCell="C3" sqref="C3"/>
    </sheetView>
  </sheetViews>
  <sheetFormatPr baseColWidth="8" defaultRowHeight="14.5"/>
  <cols>
    <col width="6.9140625" customWidth="1" style="81" min="1" max="1"/>
    <col width="69.33203125" customWidth="1" style="81" min="2" max="2"/>
    <col width="65.83203125" customWidth="1" style="81" min="3" max="3"/>
    <col width="60" customWidth="1" style="81" min="4" max="5"/>
    <col width="62" customWidth="1" style="81" min="6" max="6"/>
    <col width="55" customWidth="1" style="81" min="7" max="7"/>
    <col width="58" customWidth="1" style="81" min="8" max="8"/>
    <col width="62" customWidth="1" style="81" min="9" max="10"/>
    <col width="60" customWidth="1" style="81" min="11" max="12"/>
    <col width="66" customWidth="1" style="81" min="13" max="15"/>
    <col hidden="1" width="58" customWidth="1" style="81" min="16" max="16"/>
    <col width="70" customWidth="1" style="81" min="17" max="17"/>
    <col width="95" customWidth="1" style="81" min="18" max="18"/>
    <col width="48" customWidth="1" style="39" min="19" max="19"/>
    <col width="8.6640625" customWidth="1" style="39" min="20" max="65"/>
    <col width="8.6640625" customWidth="1" style="81" min="66" max="66"/>
    <col width="8.6640625" customWidth="1" style="81" min="67" max="16384"/>
  </cols>
  <sheetData>
    <row r="1" ht="31.5" customFormat="1" customHeight="1" s="41">
      <c r="A1" s="82" t="inlineStr">
        <is>
          <t>Application-Level DIV Testing Results – Integrated Control Attribute Testing-2026</t>
        </is>
      </c>
      <c r="B1" s="83" t="n"/>
      <c r="C1" s="83" t="n"/>
      <c r="D1" s="83" t="n"/>
      <c r="E1" s="83" t="n"/>
      <c r="F1" s="83" t="n"/>
      <c r="G1" s="83" t="n"/>
      <c r="H1" s="83" t="n"/>
      <c r="I1" s="83" t="n"/>
      <c r="J1" s="83" t="n"/>
      <c r="K1" s="83" t="n"/>
      <c r="L1" s="84" t="n"/>
      <c r="S1" s="37" t="n"/>
      <c r="T1" s="37" t="n"/>
      <c r="U1" s="37" t="n"/>
      <c r="V1" s="37" t="n"/>
      <c r="W1" s="37" t="n"/>
      <c r="X1" s="37" t="n"/>
      <c r="Y1" s="37" t="n"/>
      <c r="Z1" s="37" t="n"/>
      <c r="AA1" s="37" t="n"/>
      <c r="AB1" s="37" t="n"/>
      <c r="AC1" s="37" t="n"/>
      <c r="AD1" s="37" t="n"/>
      <c r="AE1" s="37" t="n"/>
      <c r="AF1" s="37" t="n"/>
      <c r="AG1" s="37" t="n"/>
      <c r="AH1" s="37" t="n"/>
      <c r="AI1" s="37" t="n"/>
      <c r="AJ1" s="37" t="n"/>
      <c r="AK1" s="37" t="n"/>
      <c r="AL1" s="37" t="n"/>
      <c r="AM1" s="37" t="n"/>
      <c r="AN1" s="37" t="n"/>
      <c r="AO1" s="37" t="n"/>
      <c r="AP1" s="37" t="n"/>
      <c r="AQ1" s="37" t="n"/>
      <c r="AR1" s="37" t="n"/>
      <c r="AS1" s="37" t="n"/>
      <c r="AT1" s="37" t="n"/>
      <c r="AU1" s="37" t="n"/>
      <c r="AV1" s="37" t="n"/>
      <c r="AW1" s="37" t="n"/>
      <c r="AX1" s="37" t="n"/>
      <c r="AY1" s="37" t="n"/>
      <c r="AZ1" s="37" t="n"/>
      <c r="BA1" s="37" t="n"/>
      <c r="BB1" s="37" t="n"/>
      <c r="BC1" s="37" t="n"/>
      <c r="BD1" s="37" t="n"/>
      <c r="BE1" s="37" t="n"/>
      <c r="BF1" s="37" t="n"/>
      <c r="BG1" s="37" t="n"/>
      <c r="BH1" s="37" t="n"/>
      <c r="BI1" s="37" t="n"/>
      <c r="BJ1" s="37" t="n"/>
      <c r="BK1" s="37" t="n"/>
      <c r="BL1" s="37" t="n"/>
      <c r="BM1" s="37" t="n"/>
    </row>
    <row r="2" ht="46.4" customFormat="1" customHeight="1" s="41">
      <c r="A2" s="40" t="inlineStr">
        <is>
          <t>Sample ID</t>
        </is>
      </c>
      <c r="B2" s="40" t="inlineStr">
        <is>
          <t>IT DR exercise name</t>
        </is>
      </c>
      <c r="C2" s="40" t="inlineStr">
        <is>
          <t>IT DR exercise name, was the excercise annually executed?</t>
        </is>
      </c>
      <c r="D2" s="40" t="inlineStr">
        <is>
          <t>Application Name</t>
        </is>
      </c>
      <c r="E2" s="40" t="inlineStr">
        <is>
          <t>Business Tester</t>
        </is>
      </c>
      <c r="F2" s="40" t="inlineStr">
        <is>
          <t>Business Data validation</t>
        </is>
      </c>
      <c r="G2" s="40" t="inlineStr">
        <is>
          <t>Business line manager name</t>
        </is>
      </c>
      <c r="H2" s="40" t="inlineStr">
        <is>
          <t>Business line manager approval dates</t>
        </is>
      </c>
      <c r="I2" s="40" t="inlineStr">
        <is>
          <t>DIV Test procedures listed within the Test results document</t>
        </is>
      </c>
      <c r="J2" s="40" t="inlineStr">
        <is>
          <t>Emails showing Business line manager approval of DIV testing results</t>
        </is>
      </c>
      <c r="K2" s="40" t="inlineStr">
        <is>
          <t>All evidence of Data Integrity DR test in BCIC</t>
        </is>
      </c>
      <c r="L2" s="40" t="inlineStr">
        <is>
          <t xml:space="preserve"> Annual Testing Executed</t>
        </is>
      </c>
      <c r="M2" s="40" t="inlineStr">
        <is>
          <t xml:space="preserve"> Data Integrity Validation Performed by IT DR Team</t>
        </is>
      </c>
      <c r="N2" s="40" t="inlineStr">
        <is>
          <t xml:space="preserve"> Applications in Scope Identified</t>
        </is>
      </c>
      <c r="O2" s="40" t="inlineStr">
        <is>
          <t xml:space="preserve"> Business Line Approval of Results</t>
        </is>
      </c>
      <c r="P2" s="40" t="inlineStr">
        <is>
          <t xml:space="preserve"> Results Documented in BCMS</t>
        </is>
      </c>
      <c r="Q2" s="40" t="inlineStr">
        <is>
          <t>Overall Attribute Assessment</t>
        </is>
      </c>
      <c r="R2" s="40" t="inlineStr">
        <is>
          <t>Supporting Evidence per Attribute</t>
        </is>
      </c>
      <c r="S2" s="40" t="inlineStr">
        <is>
          <t>Control Sample Assessment Result (Pass/Fail)</t>
        </is>
      </c>
      <c r="T2" s="37" t="n"/>
      <c r="U2" s="37" t="n"/>
      <c r="V2" s="37" t="n"/>
      <c r="W2" s="37" t="n"/>
      <c r="X2" s="37" t="n"/>
      <c r="Y2" s="37" t="n"/>
      <c r="Z2" s="37" t="n"/>
      <c r="AA2" s="37" t="n"/>
      <c r="AB2" s="37" t="n"/>
      <c r="AC2" s="37" t="n"/>
      <c r="AD2" s="37" t="n"/>
      <c r="AE2" s="37" t="n"/>
      <c r="AF2" s="37" t="n"/>
      <c r="AG2" s="37" t="n"/>
      <c r="AH2" s="37" t="n"/>
      <c r="AI2" s="37" t="n"/>
      <c r="AJ2" s="37" t="n"/>
      <c r="AK2" s="37" t="n"/>
      <c r="AL2" s="37" t="n"/>
      <c r="AM2" s="37" t="n"/>
      <c r="AN2" s="37" t="n"/>
      <c r="AO2" s="37" t="n"/>
      <c r="AP2" s="37" t="n"/>
      <c r="AQ2" s="37" t="n"/>
      <c r="AR2" s="37" t="n"/>
      <c r="AS2" s="37" t="n"/>
      <c r="AT2" s="37" t="n"/>
      <c r="AU2" s="37" t="n"/>
      <c r="AV2" s="37" t="n"/>
      <c r="AW2" s="37" t="n"/>
      <c r="AX2" s="37" t="n"/>
      <c r="AY2" s="37" t="n"/>
      <c r="AZ2" s="37" t="n"/>
      <c r="BA2" s="37" t="n"/>
      <c r="BB2" s="37" t="n"/>
      <c r="BC2" s="37" t="n"/>
      <c r="BD2" s="37" t="n"/>
      <c r="BE2" s="37" t="n"/>
      <c r="BF2" s="37" t="n"/>
      <c r="BG2" s="37" t="n"/>
      <c r="BH2" s="37" t="n"/>
      <c r="BI2" s="37" t="n"/>
      <c r="BJ2" s="37" t="n"/>
      <c r="BK2" s="37" t="n"/>
      <c r="BL2" s="37" t="n"/>
      <c r="BM2" s="37" t="n"/>
      <c r="BN2" s="37" t="n"/>
    </row>
    <row r="3" ht="332" customFormat="1" customHeight="1" s="37">
      <c r="A3" s="88" t="n">
        <v>1822</v>
      </c>
      <c r="B3"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3"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3" s="42"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3" s="42"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3"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3" s="42"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3" s="42"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3" s="42"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3"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3"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3"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3"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3" s="61"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3"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P3"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3"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3"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3"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4" ht="332" customFormat="1" customHeight="1" s="37">
      <c r="A4" s="88" t="n">
        <v>1867</v>
      </c>
      <c r="B4"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4" s="42"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4" s="42"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4" s="42"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4"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4" s="42"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4" s="42"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4" s="42"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4"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4"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4"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4"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4" s="61"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4"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P4"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4"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4"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4"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5" ht="332" customFormat="1" customHeight="1" s="37">
      <c r="A5" s="88" t="n">
        <v>1868</v>
      </c>
      <c r="B5" s="42"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2"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5" s="42"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5" s="42"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5" s="42"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2"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5" s="42"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2"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5"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5"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5"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5" s="61"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1"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P5"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5"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5"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5" s="4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6" ht="409" customFormat="1" customHeight="1" s="37">
      <c r="A6" s="88" t="n">
        <v>3299</v>
      </c>
      <c r="B6"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6"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6" s="42"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6" s="42"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2"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6" s="42"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6" s="42"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I6" s="42"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6" s="42"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K6"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6"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6"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6" s="61"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1"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P6"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6"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R6"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6" s="44"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row>
    <row r="7" ht="296" customFormat="1" customHeight="1" s="37">
      <c r="A7" s="88" t="n">
        <v>4052</v>
      </c>
      <c r="B7"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7"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7" s="42"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7" s="42"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7"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7" s="42"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H7" s="42"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I7" s="42"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7" s="42" t="inlineStr">
        <is>
          <t>Yes – application-specific business line manager approval evidence obtained for every DIV record:
Michelle Oropesa: DMA04 email with attached signed attestation 08/17/2026
Evidence location (BSI.IT.6.C7.3-Evidences):
• DMA04 – BSI.IT.6.C7.3-Evidences\03_DIV_Manager_Attestation_Email_Approvals\DMA04_RE_ Management Attestation – DIV – Investment Operations - Michelle Oropesa 08-17-2026.msg</t>
        </is>
      </c>
      <c r="K7"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7"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M7"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7" s="61"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7" s="61"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P7"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7"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7" s="42"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S7" s="44"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row>
    <row r="8" ht="332" customFormat="1" customHeight="1" s="37">
      <c r="A8" s="88" t="n">
        <v>3301</v>
      </c>
      <c r="B8"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8"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8" s="42"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8" s="42"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8" s="42"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8" s="42"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H8" s="42"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I8" s="42"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8" s="42" t="inlineStr">
        <is>
          <t>Yes – application-specific business line manager approval evidence obtained for every DIV record:
Franklin Puentes: DMA03 email with attached signed attestation 08/18/2026
Evidence location (BSI.IT.6.C7.3-Evidences):
• DMA03 – BSI.IT.6.C7.3-Evidences\03_DIV_Manager_Attestation_Email_Approvals\DMA03_RE_ Management Attestation – DIV – Payments &amp; Cash Management - Frank Puentes 08-18-2026.msg</t>
        </is>
      </c>
      <c r="K8"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8"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M8"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8" s="61"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8" s="61"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P8"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8"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8" s="4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8" s="44"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row>
    <row r="9" ht="380" customFormat="1" customHeight="1" s="37">
      <c r="A9" s="88" t="n">
        <v>1903</v>
      </c>
      <c r="B9"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9" s="42"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9" s="42"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9" s="42"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9" s="42"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9" s="42"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9" s="61"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I9" s="42"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9" s="42"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K9"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9"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9"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9" s="61"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9" s="61"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P9"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9"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R9" s="42"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9" s="44"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row>
    <row r="10" ht="308" customFormat="1" customHeight="1" s="37">
      <c r="A10" s="88" t="n">
        <v>1917</v>
      </c>
      <c r="B10"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0"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0" s="42"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0" s="42"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0" s="42"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0" s="42"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0" s="42"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0" s="42"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0" s="42"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0"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0"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M10"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0" s="61"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0" s="61"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0"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0"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0" s="42"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0" s="44"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row>
    <row r="11" ht="384" customFormat="1" customHeight="1" s="37">
      <c r="A11" s="88" t="n">
        <v>1936</v>
      </c>
      <c r="B11"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1" s="42"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1" s="42"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1" s="61"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1" s="42"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61"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1" s="42"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I11" s="42"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1" s="42" t="inlineStr">
        <is>
          <t>Yes – application-specific business line manager approval evidence obtained for every DIV record:
David Marquez: DMA02 email with attached signed attestation 08/19/2026
Michelle Oropesa: DMA04 email with attached signed attestation 08/17/2026
Evidence location (BSI.IT.6.C7.3-Evidences):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K11"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1"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1"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1" s="61"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1" s="61"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P11"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1"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R11" s="42"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1" s="44"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row>
    <row r="12" ht="409" customFormat="1" customHeight="1" s="37">
      <c r="A12" s="88" t="n">
        <v>1937</v>
      </c>
      <c r="B12" s="42"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2" s="42"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2" s="42"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2" s="61"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2" s="42"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2" s="42"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2" s="61"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I12" s="42"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2"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
Evidence location (BSI.IT.6.C7.3-Evidences):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K12" s="43"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2" s="61"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2" s="6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2" s="61"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2" s="61"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2" s="61"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2" s="61"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R12" s="42"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2" s="44"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row>
    <row r="13" ht="33.65" customHeight="1" s="73">
      <c r="A13" s="80"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4">
      <c r="A14" s="45" t="inlineStr">
        <is>
          <t>Population Summary</t>
        </is>
      </c>
      <c r="B14" s="45" t="n"/>
      <c r="C14" s="46" t="inlineStr">
        <is>
          <t>Total DIV Records</t>
        </is>
      </c>
      <c r="D14" s="47" t="n">
        <v>56</v>
      </c>
    </row>
    <row r="15"/>
    <row r="16" ht="33.15" customHeight="1" s="73">
      <c r="A16" s="50" t="inlineStr">
        <is>
          <t>Full-Population Assertions</t>
        </is>
      </c>
      <c r="B16" s="50" t="inlineStr">
        <is>
          <t>Result</t>
        </is>
      </c>
      <c r="C16" s="50" t="inlineStr">
        <is>
          <t>Count</t>
        </is>
      </c>
      <c r="D16" s="50" t="inlineStr">
        <is>
          <t>Population</t>
        </is>
      </c>
      <c r="E16" s="50" t="inlineStr">
        <is>
          <t>Rate</t>
        </is>
      </c>
      <c r="F16" s="48" t="n"/>
      <c r="G16" s="50" t="inlineStr">
        <is>
          <t>Observation</t>
        </is>
      </c>
      <c r="H16" s="50" t="inlineStr">
        <is>
          <t>Count</t>
        </is>
      </c>
      <c r="I16" s="50" t="inlineStr">
        <is>
          <t>Population</t>
        </is>
      </c>
      <c r="J16" s="50" t="inlineStr">
        <is>
          <t>Impact</t>
        </is>
      </c>
    </row>
    <row r="17" ht="33.15" customHeight="1" s="73">
      <c r="A17" s="51" t="inlineStr">
        <is>
          <t>DIV records with Business Data Validation Date</t>
        </is>
      </c>
      <c r="B17" s="52" t="inlineStr">
        <is>
          <t>Pass</t>
        </is>
      </c>
      <c r="C17" s="51" t="n">
        <v>56</v>
      </c>
      <c r="D17" s="51" t="n">
        <v>56</v>
      </c>
      <c r="E17" s="53">
        <f>C17/D17</f>
        <v/>
      </c>
      <c r="F17" s="48" t="n"/>
      <c r="G17" s="51" t="inlineStr">
        <is>
          <t>Blank Attestation Date</t>
        </is>
      </c>
      <c r="H17" s="51" t="n">
        <v>7</v>
      </c>
      <c r="I17" s="51" t="n">
        <v>56</v>
      </c>
      <c r="J17" s="51" t="inlineStr">
        <is>
          <t>Observation only – blank BCiC attestation fields are covered by the approval emails / signed attestations in folder 03 (DMA11, DMA12) and BLA06.</t>
        </is>
      </c>
    </row>
    <row r="18" ht="33.15" customHeight="1" s="73">
      <c r="A18" s="51" t="inlineStr">
        <is>
          <t>DIV records with Format = Y</t>
        </is>
      </c>
      <c r="B18" s="52" t="inlineStr">
        <is>
          <t>Pass</t>
        </is>
      </c>
      <c r="C18" s="51" t="n">
        <v>56</v>
      </c>
      <c r="D18" s="51" t="n">
        <v>56</v>
      </c>
      <c r="E18" s="53">
        <f>C18/D18</f>
        <v/>
      </c>
      <c r="F18" s="48" t="n"/>
      <c r="G18" s="51" t="inlineStr">
        <is>
          <t>Blank Attestation Provided By</t>
        </is>
      </c>
      <c r="H18" s="51" t="n">
        <v>6</v>
      </c>
      <c r="I18" s="51" t="n">
        <v>56</v>
      </c>
      <c r="J18" s="51" t="inlineStr">
        <is>
          <t>Observation only – blank BCiC attestation fields are covered by the approval emails / signed attestations in folder 03 (DMA11, DMA12) and BLA06.</t>
        </is>
      </c>
    </row>
    <row r="19" ht="44.25" customHeight="1" s="73">
      <c r="A19" s="51" t="inlineStr">
        <is>
          <t>DIV records with Headers = Y</t>
        </is>
      </c>
      <c r="B19" s="52" t="inlineStr">
        <is>
          <t>Pass</t>
        </is>
      </c>
      <c r="C19" s="51" t="n">
        <v>56</v>
      </c>
      <c r="D19" s="51" t="n">
        <v>56</v>
      </c>
      <c r="E19" s="53">
        <f>C19/D19</f>
        <v/>
      </c>
      <c r="F19" s="48" t="n"/>
      <c r="G19" s="51" t="n"/>
      <c r="H19" s="59" t="n"/>
      <c r="I19" s="59" t="n"/>
      <c r="J19" s="59" t="n"/>
    </row>
    <row r="20" ht="69" customHeight="1" s="73">
      <c r="A20" s="51" t="inlineStr">
        <is>
          <t>DIV records with Content = Y</t>
        </is>
      </c>
      <c r="B20" s="52" t="inlineStr">
        <is>
          <t>Pass</t>
        </is>
      </c>
      <c r="C20" s="51" t="n">
        <v>56</v>
      </c>
      <c r="D20" s="51" t="n">
        <v>56</v>
      </c>
      <c r="E20" s="53">
        <f>C20/D20</f>
        <v/>
      </c>
      <c r="F20" s="48" t="n"/>
      <c r="G20" s="51" t="n"/>
      <c r="H20" s="51" t="n"/>
      <c r="I20" s="51" t="n"/>
      <c r="J20" s="51" t="n"/>
    </row>
    <row r="21" ht="110.4" customHeight="1" s="73">
      <c r="A21" s="51" t="inlineStr">
        <is>
          <t>DIV records with Department Manager and approval date</t>
        </is>
      </c>
      <c r="B21" s="52" t="inlineStr">
        <is>
          <t>Pass</t>
        </is>
      </c>
      <c r="C21" s="51" t="n">
        <v>56</v>
      </c>
      <c r="D21" s="51" t="n">
        <v>56</v>
      </c>
      <c r="E21" s="53">
        <f>C21/D21</f>
        <v/>
      </c>
      <c r="F21" s="48" t="n"/>
      <c r="G21" s="51" t="n"/>
      <c r="H21" s="51" t="n"/>
      <c r="I21" s="51" t="n"/>
      <c r="J21" s="51" t="n"/>
    </row>
    <row r="22" ht="28.75" customHeight="1" s="73">
      <c r="A22" s="51" t="inlineStr">
        <is>
          <t>BCiC Data Integrity Validation / DR-scope records corroborated by BCiC screenshots (E02, E04, MA01)</t>
        </is>
      </c>
      <c r="B22" s="52" t="inlineStr">
        <is>
          <t>Pass</t>
        </is>
      </c>
      <c r="C22" s="51" t="n">
        <v>10</v>
      </c>
      <c r="D22" s="51" t="n">
        <v>10</v>
      </c>
      <c r="E22" s="53">
        <f>C22/D22</f>
        <v/>
      </c>
      <c r="F22" s="48" t="n"/>
      <c r="G22" s="51" t="inlineStr">
        <is>
          <t>BCIC source corroboration</t>
        </is>
      </c>
      <c r="H22" s="51" t="n">
        <v>10</v>
      </c>
      <c r="I22" s="51" t="n">
        <v>10</v>
      </c>
      <c r="J22" s="51" t="inlineStr">
        <is>
          <t>MA01 (BSI In-Scope Applications-2026) shows all 10 applications selected with 2025 Backup/Restore DIV Scope = True; E04 corroborates the BCiC DIV report used for E03 / E16b.</t>
        </is>
      </c>
    </row>
    <row r="23" ht="28.75" customHeight="1" s="73">
      <c r="A23" s="54" t="inlineStr">
        <is>
          <t>DIV records with business line manager approval evidenced by email / signed attestation (folders 02-04)</t>
        </is>
      </c>
      <c r="B23" s="55" t="inlineStr">
        <is>
          <t>Pass</t>
        </is>
      </c>
      <c r="C23" s="54" t="n">
        <v>56</v>
      </c>
      <c r="D23" s="54" t="n">
        <v>56</v>
      </c>
      <c r="E23" s="56">
        <f>C23/D23</f>
        <v/>
      </c>
      <c r="F23" s="49" t="n"/>
      <c r="G23" s="54" t="inlineStr">
        <is>
          <t>Approval evidence dated after review period end (06/01/2026)</t>
        </is>
      </c>
      <c r="H23" s="60" t="n">
        <v>33</v>
      </c>
      <c r="I23" s="60" t="n">
        <v>56</v>
      </c>
      <c r="J23" s="60"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4" ht="110.4" customHeight="1" s="73">
      <c r="A24" s="51" t="inlineStr">
        <is>
          <t>Business line DIV results documents (Business Line Approval Results folder 02) covering the tested applications</t>
        </is>
      </c>
      <c r="B24" s="57" t="inlineStr">
        <is>
          <t>Pass</t>
        </is>
      </c>
      <c r="C24" s="51" t="n">
        <v>10</v>
      </c>
      <c r="D24" s="51" t="n">
        <v>10</v>
      </c>
      <c r="E24" s="51">
        <f>C24/D24</f>
        <v/>
      </c>
      <c r="F24" s="48" t="n"/>
      <c r="G24" s="51" t="inlineStr">
        <is>
          <t>Results documents per business line</t>
        </is>
      </c>
      <c r="H24" s="51" t="n">
        <v>5</v>
      </c>
      <c r="I24" s="51" t="n">
        <v>5</v>
      </c>
      <c r="J24" s="51" t="inlineStr">
        <is>
          <t>BLA01 Client Back Office, BLA02 BSA/AML/OFAC, BLA03 Payments, BLA04 Investment Operations, BLA05 Financial Analysis &amp; Control; other T24 business lines are evidenced by BCiC records (E03) and signed attestations (folder 03).</t>
        </is>
      </c>
    </row>
    <row r="25" ht="110.4" customHeight="1" s="73">
      <c r="A25" s="51" t="inlineStr">
        <is>
          <t>Control samples meeting all five required attributes</t>
        </is>
      </c>
      <c r="B25" s="58" t="inlineStr">
        <is>
          <t>Pass</t>
        </is>
      </c>
      <c r="C25" s="51" t="n">
        <v>10</v>
      </c>
      <c r="D25" s="51" t="n">
        <v>10</v>
      </c>
      <c r="E25" s="51" t="n">
        <v>1</v>
      </c>
      <c r="F25" s="48" t="n"/>
      <c r="G25" s="51" t="inlineStr">
        <is>
          <t>Final sample-level conclusion</t>
        </is>
      </c>
      <c r="H25" s="51" t="n">
        <v>10</v>
      </c>
      <c r="I25" s="51" t="n">
        <v>10</v>
      </c>
      <c r="J25" s="51" t="inlineStr">
        <is>
          <t>10 of 10 samples PASS; observations on approval timing, self-approval and BCiC data entry are noted for reviewer consideration (column Q / Observations section).</t>
        </is>
      </c>
    </row>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ht="75" customHeight="1" s="73">
      <c r="A79" s="85"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S79" s="81" t="n"/>
    </row>
    <row r="80">
      <c r="S80" s="81" t="n"/>
    </row>
    <row r="81">
      <c r="S81" s="81" t="n"/>
    </row>
    <row r="82">
      <c r="S82" s="81" t="n"/>
    </row>
    <row r="83">
      <c r="S83" s="81" t="n"/>
    </row>
    <row r="84">
      <c r="S84" s="81" t="n"/>
    </row>
    <row r="85">
      <c r="S85" s="81" t="n"/>
    </row>
    <row r="86">
      <c r="S86" s="81" t="n"/>
    </row>
    <row r="87">
      <c r="S87" s="81" t="n"/>
    </row>
    <row r="88">
      <c r="S88" s="81" t="n"/>
    </row>
    <row r="89">
      <c r="S89" s="81" t="n"/>
    </row>
    <row r="90">
      <c r="S90" s="81" t="n"/>
    </row>
    <row r="91">
      <c r="S91" s="81" t="n"/>
    </row>
    <row r="92">
      <c r="S92" s="81" t="n"/>
    </row>
    <row r="93">
      <c r="S93" s="81" t="n"/>
    </row>
    <row r="94">
      <c r="S94" s="81" t="n"/>
    </row>
    <row r="95">
      <c r="S95" s="81" t="n"/>
    </row>
    <row r="96">
      <c r="S96" s="81" t="n"/>
    </row>
    <row r="97">
      <c r="S97" s="81" t="n"/>
    </row>
    <row r="98">
      <c r="S98" s="81" t="n"/>
    </row>
    <row r="99">
      <c r="S99" s="81" t="n"/>
    </row>
    <row r="100">
      <c r="S100" s="81" t="n"/>
    </row>
    <row r="101">
      <c r="S101" s="81" t="n"/>
    </row>
    <row r="102">
      <c r="S102" s="81" t="n"/>
    </row>
    <row r="103">
      <c r="S103" s="81" t="n"/>
    </row>
    <row r="104">
      <c r="S104" s="81" t="n"/>
    </row>
    <row r="105">
      <c r="S105" s="81" t="n"/>
    </row>
    <row r="106">
      <c r="S106" s="81" t="n"/>
    </row>
    <row r="107">
      <c r="S107" s="81" t="n"/>
    </row>
    <row r="108">
      <c r="S108" s="81" t="n"/>
    </row>
    <row r="109">
      <c r="S109" s="81" t="n"/>
    </row>
    <row r="110">
      <c r="S110" s="81" t="n"/>
    </row>
    <row r="111">
      <c r="S111" s="81" t="n"/>
    </row>
    <row r="112">
      <c r="S112" s="81" t="n"/>
    </row>
    <row r="113">
      <c r="S113" s="81" t="n"/>
    </row>
    <row r="114">
      <c r="S114" s="81" t="n"/>
    </row>
    <row r="115">
      <c r="S115" s="81" t="n"/>
    </row>
    <row r="116">
      <c r="S116" s="81" t="n"/>
    </row>
    <row r="117">
      <c r="S117" s="81" t="n"/>
    </row>
    <row r="118">
      <c r="S118" s="81" t="n"/>
    </row>
    <row r="119">
      <c r="S119" s="81" t="n"/>
    </row>
    <row r="120">
      <c r="S120" s="81" t="n"/>
    </row>
    <row r="121">
      <c r="S121" s="81" t="n"/>
    </row>
    <row r="122">
      <c r="S122" s="81" t="n"/>
    </row>
    <row r="123">
      <c r="S123" s="81" t="n"/>
    </row>
    <row r="124">
      <c r="S124" s="81" t="n"/>
    </row>
    <row r="125">
      <c r="S125" s="81" t="n"/>
    </row>
    <row r="126">
      <c r="S126" s="81" t="n"/>
    </row>
    <row r="127">
      <c r="S127" s="81" t="n"/>
    </row>
    <row r="128">
      <c r="S128" s="81" t="n"/>
    </row>
    <row r="129">
      <c r="S129" s="81" t="n"/>
    </row>
    <row r="130">
      <c r="S130" s="81" t="n"/>
    </row>
    <row r="131">
      <c r="S131" s="81" t="n"/>
    </row>
    <row r="132">
      <c r="S132" s="81" t="n"/>
    </row>
    <row r="133">
      <c r="S133" s="81" t="n"/>
    </row>
    <row r="134">
      <c r="S134" s="81" t="n"/>
    </row>
    <row r="135">
      <c r="S135" s="81" t="n"/>
    </row>
    <row r="136">
      <c r="S136" s="81" t="n"/>
    </row>
    <row r="137">
      <c r="S137" s="81" t="n"/>
    </row>
    <row r="138">
      <c r="S138" s="81" t="n"/>
    </row>
  </sheetData>
  <mergeCells count="3">
    <mergeCell ref="A13:L13"/>
    <mergeCell ref="A1:L1"/>
    <mergeCell ref="A79:L79"/>
  </mergeCells>
  <hyperlinks>
    <hyperlink ref="A3" location="'Application Attribute Testing'!A158" display="1822"/>
    <hyperlink ref="A4" location="'Application Attribute Testing'!A159" display="1867"/>
    <hyperlink ref="A5" location="'Application Attribute Testing'!A160" display="1868"/>
    <hyperlink ref="A6" location="'Application Attribute Testing'!A161" display="3299"/>
    <hyperlink ref="A7" location="'Application Attribute Testing'!A162" display="4052"/>
    <hyperlink ref="A8" location="'Application Attribute Testing'!A163" display="3301"/>
    <hyperlink ref="A9" location="'Application Attribute Testing'!A164" display="1903"/>
    <hyperlink ref="A10" location="'Application Attribute Testing'!A165" display="1917"/>
    <hyperlink ref="A11" location="'Application Attribute Testing'!A166" display="1936"/>
    <hyperlink ref="A12" location="'Application Attribute Testing'!A167" display="1937"/>
  </hyperlink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F4E78"/>
    <outlinePr summaryBelow="1" summaryRight="1"/>
    <pageSetUpPr fitToPage="1"/>
  </sheetPr>
  <dimension ref="A1:AA167"/>
  <sheetViews>
    <sheetView tabSelected="1" workbookViewId="0">
      <selection activeCell="B8" sqref="B8"/>
    </sheetView>
  </sheetViews>
  <sheetFormatPr baseColWidth="8" defaultRowHeight="14"/>
  <cols>
    <col width="8.75" customWidth="1" style="73" min="1" max="1"/>
    <col width="71.75" customWidth="1" style="73" min="2" max="2"/>
    <col width="37.83203125" customWidth="1" style="73" min="3" max="3"/>
    <col width="39.75" customWidth="1" style="73" min="4" max="4"/>
    <col width="61.5" customWidth="1" style="73" min="5" max="5"/>
    <col width="113.75" customWidth="1" style="73" min="6" max="6"/>
    <col width="48.08203125" customWidth="1" style="73" min="7" max="7"/>
    <col width="8" customWidth="1" style="73" min="8" max="8"/>
    <col width="8" customWidth="1" style="73" min="9" max="9"/>
    <col width="8" customWidth="1" style="73" min="10" max="10"/>
    <col width="8" customWidth="1" style="73" min="11" max="11"/>
    <col width="8" customWidth="1" style="73" min="12" max="12"/>
    <col width="8" customWidth="1" style="73" min="13" max="13"/>
    <col width="8" customWidth="1" style="73" min="14" max="14"/>
    <col width="8" customWidth="1" style="73" min="15" max="15"/>
    <col width="8" customWidth="1" style="73" min="16" max="16"/>
    <col width="8" customWidth="1" style="73" min="17" max="17"/>
    <col width="8" customWidth="1" style="73" min="18" max="18"/>
    <col width="8" customWidth="1" style="73" min="19" max="19"/>
    <col width="8" customWidth="1" style="73" min="20" max="20"/>
    <col width="8" customWidth="1" style="73" min="21" max="21"/>
    <col width="8" customWidth="1" style="73" min="22" max="22"/>
    <col width="8" customWidth="1" style="73" min="23" max="23"/>
    <col width="8" customWidth="1" style="73" min="24" max="24"/>
    <col width="8" customWidth="1" style="73" min="25" max="25"/>
    <col width="8" customWidth="1" style="73" min="26" max="26"/>
    <col width="8" customWidth="1" style="73" min="27" max="27"/>
    <col width="8" customWidth="1" style="73" min="28" max="28"/>
    <col width="8" customWidth="1" style="73" min="29" max="29"/>
    <col width="8" customWidth="1" style="73" min="30" max="30"/>
    <col width="8" customWidth="1" style="73" min="31" max="31"/>
    <col width="8" customWidth="1" style="73" min="32" max="32"/>
    <col width="8" customWidth="1" style="73" min="33" max="33"/>
    <col width="8" customWidth="1" style="73" min="34" max="34"/>
    <col width="8" customWidth="1" style="73" min="35" max="35"/>
    <col width="8" customWidth="1" style="73" min="36" max="36"/>
  </cols>
  <sheetData>
    <row r="1" ht="15.5" customHeight="1" s="73">
      <c r="A1" s="87" t="inlineStr">
        <is>
          <t>BSI.IT.6.C7.3 – DR Data Integrity Validation – Retest of attributes (Scope, Email approval and all attributes) – Contents</t>
        </is>
      </c>
    </row>
    <row r="2" ht="26" customHeight="1" s="73">
      <c r="A2" s="62" t="inlineStr">
        <is>
          <t>#</t>
        </is>
      </c>
      <c r="B2" s="62" t="inlineStr">
        <is>
          <t>Section (click to open)</t>
        </is>
      </c>
      <c r="C2" s="62" t="inlineStr">
        <is>
          <t>Workpaper column</t>
        </is>
      </c>
      <c r="D2" s="62" t="inlineStr">
        <is>
          <t>Evidence files reviewed</t>
        </is>
      </c>
      <c r="G2" s="62" t="inlineStr">
        <is>
          <t>Result</t>
        </is>
      </c>
    </row>
    <row r="3" ht="15.5" customHeight="1" s="73">
      <c r="A3" s="63" t="inlineStr">
        <is>
          <t>1</t>
        </is>
      </c>
      <c r="B3" s="64" t="inlineStr">
        <is>
          <t>Application Name</t>
        </is>
      </c>
      <c r="C3" s="65" t="inlineStr">
        <is>
          <t>D</t>
        </is>
      </c>
      <c r="D3" s="65" t="inlineStr">
        <is>
          <t>Key: MA01 · 6 references in total</t>
        </is>
      </c>
      <c r="E3" s="66" t="n"/>
      <c r="F3" s="66" t="n"/>
      <c r="G3" s="67" t="inlineStr">
        <is>
          <t>PASS</t>
        </is>
      </c>
    </row>
    <row r="4" ht="15.5" customHeight="1" s="73">
      <c r="A4" s="63" t="inlineStr">
        <is>
          <t>2</t>
        </is>
      </c>
      <c r="B4" s="64" t="inlineStr">
        <is>
          <t>IT DR exercise name</t>
        </is>
      </c>
      <c r="C4" s="65" t="inlineStr">
        <is>
          <t>B</t>
        </is>
      </c>
      <c r="D4" s="65" t="inlineStr">
        <is>
          <t>Key: E01 · 9 references in total</t>
        </is>
      </c>
      <c r="E4" s="66" t="n"/>
      <c r="F4" s="66" t="n"/>
      <c r="G4" s="67" t="inlineStr">
        <is>
          <t>PASS</t>
        </is>
      </c>
    </row>
    <row r="5" ht="15.5" customHeight="1" s="73">
      <c r="A5" s="63" t="inlineStr">
        <is>
          <t>3</t>
        </is>
      </c>
      <c r="B5" s="64" t="inlineStr">
        <is>
          <t>IT DR exercise name, was the excercise annually executed?</t>
        </is>
      </c>
      <c r="C5" s="65" t="inlineStr">
        <is>
          <t>C</t>
        </is>
      </c>
      <c r="D5" s="65" t="inlineStr">
        <is>
          <t>3 file(s)</t>
        </is>
      </c>
      <c r="E5" s="66" t="n"/>
      <c r="F5" s="66" t="n"/>
      <c r="G5" s="67" t="inlineStr">
        <is>
          <t>PASS</t>
        </is>
      </c>
    </row>
    <row r="6" ht="15.5" customHeight="1" s="73">
      <c r="A6" s="63" t="inlineStr">
        <is>
          <t>4</t>
        </is>
      </c>
      <c r="B6" s="64" t="inlineStr">
        <is>
          <t>Business Tester</t>
        </is>
      </c>
      <c r="C6" s="65" t="inlineStr">
        <is>
          <t>E</t>
        </is>
      </c>
      <c r="D6" s="65" t="inlineStr">
        <is>
          <t>Key: E03 · 9 references in total</t>
        </is>
      </c>
      <c r="E6" s="66" t="n"/>
      <c r="F6" s="66" t="n"/>
      <c r="G6" s="67" t="inlineStr">
        <is>
          <t>PASS</t>
        </is>
      </c>
    </row>
    <row r="7" ht="15.5" customHeight="1" s="73">
      <c r="A7" s="63" t="inlineStr">
        <is>
          <t>5</t>
        </is>
      </c>
      <c r="B7" s="64" t="inlineStr">
        <is>
          <t>Business Data validation</t>
        </is>
      </c>
      <c r="C7" s="65" t="inlineStr">
        <is>
          <t>F</t>
        </is>
      </c>
      <c r="D7" s="65" t="inlineStr">
        <is>
          <t>Key: E03 · 10 references in total</t>
        </is>
      </c>
      <c r="E7" s="66" t="n"/>
      <c r="F7" s="66" t="n"/>
      <c r="G7" s="67" t="inlineStr">
        <is>
          <t>PASS</t>
        </is>
      </c>
    </row>
    <row r="8" ht="15.5" customHeight="1" s="73">
      <c r="A8" s="63" t="inlineStr">
        <is>
          <t>6</t>
        </is>
      </c>
      <c r="B8" s="64" t="inlineStr">
        <is>
          <t>Business line manager name</t>
        </is>
      </c>
      <c r="C8" s="65" t="inlineStr">
        <is>
          <t>G</t>
        </is>
      </c>
      <c r="D8" s="65" t="inlineStr">
        <is>
          <t>Key: E03 · 16 references in total</t>
        </is>
      </c>
      <c r="E8" s="66" t="n"/>
      <c r="F8" s="66" t="n"/>
      <c r="G8" s="67" t="inlineStr">
        <is>
          <t>PASS</t>
        </is>
      </c>
    </row>
    <row r="9" ht="15.5" customHeight="1" s="73">
      <c r="A9" s="63" t="inlineStr">
        <is>
          <t>7</t>
        </is>
      </c>
      <c r="B9" s="64" t="inlineStr">
        <is>
          <t>Business line manager approval dates</t>
        </is>
      </c>
      <c r="C9" s="65" t="inlineStr">
        <is>
          <t>H</t>
        </is>
      </c>
      <c r="D9" s="65" t="inlineStr">
        <is>
          <t>Key: E03 · 16 references in total</t>
        </is>
      </c>
      <c r="E9" s="66" t="n"/>
      <c r="F9" s="66" t="n"/>
      <c r="G9" s="67" t="inlineStr">
        <is>
          <t>PASS</t>
        </is>
      </c>
    </row>
    <row r="10" ht="15.5" customHeight="1" s="73">
      <c r="A10" s="63" t="inlineStr">
        <is>
          <t>8</t>
        </is>
      </c>
      <c r="B10" s="64" t="inlineStr">
        <is>
          <t>DIV Test procedures listed within the Test results document</t>
        </is>
      </c>
      <c r="C10" s="65" t="inlineStr">
        <is>
          <t>I</t>
        </is>
      </c>
      <c r="D10" s="65" t="inlineStr">
        <is>
          <t>Key: E03 · 7 references in total</t>
        </is>
      </c>
      <c r="E10" s="66" t="n"/>
      <c r="F10" s="66" t="n"/>
      <c r="G10" s="67" t="inlineStr">
        <is>
          <t>PASS</t>
        </is>
      </c>
    </row>
    <row r="11" ht="15.5" customHeight="1" s="73">
      <c r="A11" s="63" t="inlineStr">
        <is>
          <t>9</t>
        </is>
      </c>
      <c r="B11" s="64" t="inlineStr">
        <is>
          <t>Emails showing Business line manager approval of DIV testing results</t>
        </is>
      </c>
      <c r="C11" s="65" t="inlineStr">
        <is>
          <t>J</t>
        </is>
      </c>
      <c r="D11" s="65" t="inlineStr">
        <is>
          <t>Key: BLA06, DMA01, DMA02, DMA03, DMA04 · 14 references in total</t>
        </is>
      </c>
      <c r="E11" s="66" t="n"/>
      <c r="F11" s="66" t="n"/>
      <c r="G11" s="67" t="inlineStr">
        <is>
          <t>PASS</t>
        </is>
      </c>
    </row>
    <row r="12" ht="15.5" customHeight="1" s="73">
      <c r="A12" s="63" t="inlineStr">
        <is>
          <t>10</t>
        </is>
      </c>
      <c r="B12" s="64" t="inlineStr">
        <is>
          <t>All evidence of Data Integrity DR test in BCIC</t>
        </is>
      </c>
      <c r="C12" s="65" t="inlineStr">
        <is>
          <t>K</t>
        </is>
      </c>
      <c r="D12" s="65" t="inlineStr">
        <is>
          <t>Key: E03 · 6 references in total</t>
        </is>
      </c>
      <c r="E12" s="66" t="n"/>
      <c r="F12" s="66" t="n"/>
      <c r="G12" s="67" t="inlineStr">
        <is>
          <t>PASS</t>
        </is>
      </c>
    </row>
    <row r="13" ht="15.5" customHeight="1" s="73">
      <c r="A13" s="63" t="inlineStr">
        <is>
          <t>11</t>
        </is>
      </c>
      <c r="B13" s="64" t="inlineStr">
        <is>
          <t>Annual Testing Executed</t>
        </is>
      </c>
      <c r="C13" s="65" t="inlineStr">
        <is>
          <t>L</t>
        </is>
      </c>
      <c r="D13" s="65" t="inlineStr">
        <is>
          <t>Key: E01 · 8 references in total</t>
        </is>
      </c>
      <c r="E13" s="66" t="n"/>
      <c r="F13" s="66" t="n"/>
      <c r="G13" s="67" t="inlineStr">
        <is>
          <t>PASS</t>
        </is>
      </c>
    </row>
    <row r="14" ht="15.5" customHeight="1" s="73">
      <c r="A14" s="63" t="inlineStr">
        <is>
          <t>12</t>
        </is>
      </c>
      <c r="B14" s="64" t="inlineStr">
        <is>
          <t>Data Integrity Validation Performed by IT DR Team</t>
        </is>
      </c>
      <c r="C14" s="65" t="inlineStr">
        <is>
          <t>M</t>
        </is>
      </c>
      <c r="D14" s="65" t="inlineStr">
        <is>
          <t>Key: E05 · 11 references in total</t>
        </is>
      </c>
      <c r="E14" s="66" t="n"/>
      <c r="F14" s="66" t="n"/>
      <c r="G14" s="67" t="inlineStr">
        <is>
          <t>PASS</t>
        </is>
      </c>
    </row>
    <row r="15" ht="15.5" customHeight="1" s="73">
      <c r="A15" s="63" t="inlineStr">
        <is>
          <t>13</t>
        </is>
      </c>
      <c r="B15" s="64" t="inlineStr">
        <is>
          <t>Applications in Scope Identified</t>
        </is>
      </c>
      <c r="C15" s="65" t="inlineStr">
        <is>
          <t>N</t>
        </is>
      </c>
      <c r="D15" s="65" t="inlineStr">
        <is>
          <t>Key: MA01 · 6 references in total</t>
        </is>
      </c>
      <c r="E15" s="66" t="n"/>
      <c r="F15" s="66" t="n"/>
      <c r="G15" s="67" t="inlineStr">
        <is>
          <t>PASS</t>
        </is>
      </c>
    </row>
    <row r="16" ht="15.5" customHeight="1" s="73">
      <c r="A16" s="63" t="inlineStr">
        <is>
          <t>14</t>
        </is>
      </c>
      <c r="B16" s="64" t="inlineStr">
        <is>
          <t>Business Line Approval of Results</t>
        </is>
      </c>
      <c r="C16" s="65" t="inlineStr">
        <is>
          <t>O</t>
        </is>
      </c>
      <c r="D16" s="65" t="inlineStr">
        <is>
          <t>Key: BLA06, DMA01, DMA02, DMA03, DMA04 · 20 references in total</t>
        </is>
      </c>
      <c r="E16" s="66" t="n"/>
      <c r="F16" s="66" t="n"/>
      <c r="G16" s="67" t="inlineStr">
        <is>
          <t>PASS</t>
        </is>
      </c>
    </row>
    <row r="17" ht="15.5" customHeight="1" s="73">
      <c r="A17" s="63" t="inlineStr">
        <is>
          <t>—</t>
        </is>
      </c>
      <c r="B17" s="64" t="inlineStr">
        <is>
          <t>Evidence review – original reference information (folders 01–04)</t>
        </is>
      </c>
      <c r="C17" s="65" t="inlineStr">
        <is>
          <t>—</t>
        </is>
      </c>
      <c r="D17" s="65" t="inlineStr">
        <is>
          <t>31 file(s)</t>
        </is>
      </c>
      <c r="E17" s="66" t="n"/>
      <c r="F17" s="66" t="n"/>
      <c r="G17" s="67" t="inlineStr">
        <is>
          <t>PASS</t>
        </is>
      </c>
    </row>
    <row r="18" ht="15.5" customHeight="1" s="73">
      <c r="A18" s="63" t="inlineStr">
        <is>
          <t>—</t>
        </is>
      </c>
      <c r="B18" s="64" t="inlineStr">
        <is>
          <t>Evidence reference table – evidence number → attribute tests</t>
        </is>
      </c>
      <c r="C18" s="65" t="inlineStr">
        <is>
          <t>—</t>
        </is>
      </c>
      <c r="D18" s="65" t="inlineStr">
        <is>
          <t>31 file(s)</t>
        </is>
      </c>
      <c r="E18" s="66" t="n"/>
      <c r="F18" s="66" t="n"/>
      <c r="G18" s="67" t="inlineStr">
        <is>
          <t>PASS</t>
        </is>
      </c>
    </row>
    <row r="19" ht="15.5" customHeight="1" s="73">
      <c r="A19" s="63" t="inlineStr">
        <is>
          <t>—</t>
        </is>
      </c>
      <c r="B19" s="64" t="inlineStr">
        <is>
          <t>Conclusion – all applications in scope (PASS) with evidence references</t>
        </is>
      </c>
      <c r="C19" s="65" t="inlineStr">
        <is>
          <t>—</t>
        </is>
      </c>
      <c r="D19" s="65" t="inlineStr">
        <is>
          <t>10 applications</t>
        </is>
      </c>
      <c r="E19" s="66" t="n"/>
      <c r="F19" s="66" t="n"/>
      <c r="G19" s="67" t="inlineStr">
        <is>
          <t>PASS</t>
        </is>
      </c>
    </row>
    <row r="20" s="73"/>
    <row r="21" ht="15.5" customHeight="1" s="73">
      <c r="A21" s="87" t="inlineStr">
        <is>
          <t>1. Application Name (column D) – Review of evidence files and results</t>
        </is>
      </c>
    </row>
    <row r="22" ht="26" customHeight="1" s="73">
      <c r="A22" s="62" t="inlineStr">
        <is>
          <t>Ref</t>
        </is>
      </c>
      <c r="B22" s="62" t="inlineStr">
        <is>
          <t>Evidence file (repository location)</t>
        </is>
      </c>
      <c r="C22" s="62" t="inlineStr">
        <is>
          <t>Date / owner / operator</t>
        </is>
      </c>
      <c r="D22" s="62" t="inlineStr">
        <is>
          <t>Applications tested (source rows)</t>
        </is>
      </c>
      <c r="E22" s="62" t="inlineStr">
        <is>
          <t>Content reviewed</t>
        </is>
      </c>
      <c r="F22" s="62" t="inlineStr">
        <is>
          <t>Conclusion / samples supported</t>
        </is>
      </c>
      <c r="G22" s="62" t="inlineStr">
        <is>
          <t>Control Sample Assessment Result (Pass/Fail)</t>
        </is>
      </c>
      <c r="H22" s="89" t="inlineStr">
        <is>
          <t>All references for this attribute (6) – click to open; key evidence in green</t>
        </is>
      </c>
    </row>
    <row r="23" ht="340" customHeight="1" s="73">
      <c r="A23" s="69" t="inlineStr">
        <is>
          <t>MA01</t>
        </is>
      </c>
      <c r="B23" s="65" t="inlineStr">
        <is>
          <t>BSI.IT.6.C7.3-Evidences\01_Management_Attestation_In-Scope_Applications\MA01_BSI In-Scope Applications-2026.png</t>
        </is>
      </c>
      <c r="C23" s="65" t="inlineStr">
        <is>
          <t>09/23/2026 – Cesar Vidal (BCiC walkthrough)</t>
        </is>
      </c>
      <c r="D23" s="65" t="inlineStr">
        <is>
          <t>1822 ACH Express
1867 FedExport - BSI
1868 FedImport - BSI
3299 Imaging101
4052 Interface Monitor
3301 MQ Payment Monitor
1903 OFAC - BSI
1917 ReconXpert
1936 Swift Interface - BSI
1937 T24</t>
        </is>
      </c>
      <c r="E23"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 BSI In-Scope Applications-2026 – App ID 1822 selected; 2025 Backup/Restore DIV Scope = True
• BSI In-Scope Applications-2026 – App ID 1867 selected; 2025 Backup/Restore DIV Scope = True
• BSI In-Scope Applications-2026 – App ID 1868 selected; 2025 Backup/Restore DIV Scope = True
• BSI In-Scope Applications-2026 – App ID 3299 selected; 2025 Backup/Restore DIV Scope = True
• BSI In-Scope Applications-2026 – App ID 4052 selected; 2025 Backup/Restore DIV Scope = True
• BSI In-Scope Applications-2026 – App ID 3301 selected; 2025 Backup/Restore DIV Scope = True
• BSI In-Scope Applications-2026 – App ID 1903 selected; 2025 Backup/Restore DIV Scope = True
• BSI In-Scope Applications-2026 – App ID 1917 selected; 2025 Backup/Restore DIV Scope = True
• BSI In-Scope Applications-2026 – App ID 1936 selected; 2025 Backup/Restore DIV Scope = True
• BSI In-Scope Applications-2026 – App ID 1937 selected; 2025 Backup/Restore DIV Scope = True</t>
        </is>
      </c>
      <c r="F23" s="65" t="inlineStr">
        <is>
          <t>Supports Application Name (column D) – samples 1822, 1867, 1868, 3299, 4052, 3301, 1903, 1917, 1936, 1937</t>
        </is>
      </c>
      <c r="G23" s="67" t="inlineStr">
        <is>
          <t>PASS</t>
        </is>
      </c>
      <c r="H23" s="90" t="inlineStr">
        <is>
          <t>MA01</t>
        </is>
      </c>
      <c r="I23" s="91" t="inlineStr">
        <is>
          <t>E01</t>
        </is>
      </c>
      <c r="J23" s="91" t="inlineStr">
        <is>
          <t>E02</t>
        </is>
      </c>
      <c r="K23" s="91" t="inlineStr">
        <is>
          <t>E03</t>
        </is>
      </c>
      <c r="L23" s="91" t="inlineStr">
        <is>
          <t>E04</t>
        </is>
      </c>
      <c r="M23" s="91" t="inlineStr">
        <is>
          <t>E16b</t>
        </is>
      </c>
    </row>
    <row r="24" s="73"/>
    <row r="25" ht="15.5" customHeight="1" s="73">
      <c r="A25" s="87" t="inlineStr">
        <is>
          <t>2. IT DR exercise name (column B) – Review of evidence files and results</t>
        </is>
      </c>
    </row>
    <row r="26" ht="26" customHeight="1" s="73">
      <c r="A26" s="62" t="inlineStr">
        <is>
          <t>Ref</t>
        </is>
      </c>
      <c r="B26" s="62" t="inlineStr">
        <is>
          <t>Evidence file (repository location)</t>
        </is>
      </c>
      <c r="C26" s="62" t="inlineStr">
        <is>
          <t>Date / owner / operator</t>
        </is>
      </c>
      <c r="D26" s="62" t="inlineStr">
        <is>
          <t>Applications tested (source rows)</t>
        </is>
      </c>
      <c r="E26" s="62" t="inlineStr">
        <is>
          <t>Content reviewed</t>
        </is>
      </c>
      <c r="F26" s="62" t="inlineStr">
        <is>
          <t>Conclusion / samples supported</t>
        </is>
      </c>
      <c r="G26" s="62" t="inlineStr">
        <is>
          <t>Control Sample Assessment Result (Pass/Fail)</t>
        </is>
      </c>
      <c r="H26" s="89" t="inlineStr">
        <is>
          <t>All references for this attribute (9) – click to open; key evidence in green</t>
        </is>
      </c>
    </row>
    <row r="27" ht="126" customHeight="1" s="73">
      <c r="A27" s="69" t="inlineStr">
        <is>
          <t>E01</t>
        </is>
      </c>
      <c r="B27" s="65" t="inlineStr">
        <is>
          <t>BSI.IT.6.C7.3-Evidences\04_Data_Integrity_and_Email_Testing_Evidence\BSI.IT.6.C7.3_E01_Applications In Scope for DR Test BSI (13).xlsx</t>
        </is>
      </c>
      <c r="C27" s="65" t="inlineStr">
        <is>
          <t>BCiC – Applications In Scope for DR Test BSI</t>
        </is>
      </c>
      <c r="D27"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27" s="65" t="inlineStr">
        <is>
          <t>BCiC export of the BSI DR-scope population (43 applications) with Exercise Date and 2025 DR / Backup-Restore / DIV scope flags.
Checked for IT DR exercise name:
• Exercise Date 12/11/25, 2025 DR Test Scope = True
• Exercise Date 11/15/25, 2025 DR Test Scope = True</t>
        </is>
      </c>
      <c r="F27" s="65" t="inlineStr">
        <is>
          <t>Supports IT DR exercise name (column B) – samples 1822, 1867, 1868, 3299, 4052, 3301, 1903, 1917, 1936, 1937</t>
        </is>
      </c>
      <c r="G27" s="67" t="inlineStr">
        <is>
          <t>PASS</t>
        </is>
      </c>
      <c r="H27" s="91" t="inlineStr">
        <is>
          <t>BLA01</t>
        </is>
      </c>
      <c r="I27" s="91" t="inlineStr">
        <is>
          <t>BLA02</t>
        </is>
      </c>
      <c r="J27" s="91" t="inlineStr">
        <is>
          <t>BLA03</t>
        </is>
      </c>
      <c r="K27" s="91" t="inlineStr">
        <is>
          <t>BLA04</t>
        </is>
      </c>
      <c r="L27" s="91" t="inlineStr">
        <is>
          <t>BLA05</t>
        </is>
      </c>
      <c r="M27" s="91" t="inlineStr">
        <is>
          <t>DMA02</t>
        </is>
      </c>
      <c r="N27" s="90" t="inlineStr">
        <is>
          <t>E01</t>
        </is>
      </c>
      <c r="O27" s="91" t="inlineStr">
        <is>
          <t>E03</t>
        </is>
      </c>
      <c r="P27" s="91" t="inlineStr">
        <is>
          <t>E16b</t>
        </is>
      </c>
    </row>
    <row r="28" s="73"/>
    <row r="29" s="73"/>
    <row r="30" ht="15.5" customHeight="1" s="73">
      <c r="A30" s="87" t="inlineStr">
        <is>
          <t>4. Business Tester (column E) – Review of evidence files and results</t>
        </is>
      </c>
    </row>
    <row r="31" ht="26" customHeight="1" s="73">
      <c r="A31" s="62" t="inlineStr">
        <is>
          <t>Ref</t>
        </is>
      </c>
      <c r="B31" s="62" t="inlineStr">
        <is>
          <t>Evidence file (repository location)</t>
        </is>
      </c>
      <c r="C31" s="62" t="inlineStr">
        <is>
          <t>Date / owner / operator</t>
        </is>
      </c>
      <c r="D31" s="62" t="inlineStr">
        <is>
          <t>Applications tested (source rows)</t>
        </is>
      </c>
      <c r="E31" s="62" t="inlineStr">
        <is>
          <t>Content reviewed</t>
        </is>
      </c>
      <c r="F31" s="62" t="inlineStr">
        <is>
          <t>Conclusion / samples supported</t>
        </is>
      </c>
      <c r="G31" s="62" t="inlineStr">
        <is>
          <t>Control Sample Assessment Result (Pass/Fail)</t>
        </is>
      </c>
      <c r="H31" s="89" t="inlineStr">
        <is>
          <t>All references for this attribute (9) – click to open; key evidence in green</t>
        </is>
      </c>
    </row>
    <row r="32" ht="174" customHeight="1" s="73">
      <c r="A32" s="69" t="inlineStr">
        <is>
          <t>E03</t>
        </is>
      </c>
      <c r="B32" s="65" t="inlineStr">
        <is>
          <t>BSI.IT.6.C7.3-Evidences\04_Data_Integrity_and_Email_Testing_Evidence\BSI.IT.6.C7.3_E03_All Data Integrity Validation Testing_FV.xls</t>
        </is>
      </c>
      <c r="C32" s="65" t="inlineStr">
        <is>
          <t>BCiC – Data Integrity Validation Testing (62 records)</t>
        </is>
      </c>
      <c r="D32"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2" s="65" t="inlineStr">
        <is>
          <t>BCiC DIV export incl. Business Tester, Business Data Validation Date, Department Manager, Department Manager Approval Date, Y/N Format/Headers/Content, Attestation Date / Provided By. Row numbers quoted are Excel rows.
Checked for Business Tester:
• 'Business Tester(s)' column</t>
        </is>
      </c>
      <c r="F32" s="65" t="inlineStr">
        <is>
          <t>Supports Business Tester (column E) – samples 1822, 1867, 1868, 3299, 4052, 3301, 1903, 1917, 1936, 1937</t>
        </is>
      </c>
      <c r="G32" s="67" t="inlineStr">
        <is>
          <t>PASS</t>
        </is>
      </c>
      <c r="H32" s="91" t="inlineStr">
        <is>
          <t>BLA01</t>
        </is>
      </c>
      <c r="I32" s="91" t="inlineStr">
        <is>
          <t>BLA02</t>
        </is>
      </c>
      <c r="J32" s="91" t="inlineStr">
        <is>
          <t>BLA03</t>
        </is>
      </c>
      <c r="K32" s="91" t="inlineStr">
        <is>
          <t>BLA04</t>
        </is>
      </c>
      <c r="L32" s="91" t="inlineStr">
        <is>
          <t>BLA05</t>
        </is>
      </c>
      <c r="M32" s="90" t="inlineStr">
        <is>
          <t>E03</t>
        </is>
      </c>
      <c r="N32" s="91" t="inlineStr">
        <is>
          <t>E04</t>
        </is>
      </c>
      <c r="O32" s="91" t="inlineStr">
        <is>
          <t>E09</t>
        </is>
      </c>
      <c r="P32" s="91" t="inlineStr">
        <is>
          <t>E16b</t>
        </is>
      </c>
    </row>
    <row r="33" s="73"/>
    <row r="34" ht="15.5" customHeight="1" s="73">
      <c r="A34" s="87" t="inlineStr">
        <is>
          <t>5. Business Data validation (column F) – Review of evidence files and results</t>
        </is>
      </c>
    </row>
    <row r="35" ht="26" customHeight="1" s="73">
      <c r="A35" s="62" t="inlineStr">
        <is>
          <t>Ref</t>
        </is>
      </c>
      <c r="B35" s="62" t="inlineStr">
        <is>
          <t>Evidence file (repository location)</t>
        </is>
      </c>
      <c r="C35" s="62" t="inlineStr">
        <is>
          <t>Date / owner / operator</t>
        </is>
      </c>
      <c r="D35" s="62" t="inlineStr">
        <is>
          <t>Applications tested (source rows)</t>
        </is>
      </c>
      <c r="E35" s="62" t="inlineStr">
        <is>
          <t>Content reviewed</t>
        </is>
      </c>
      <c r="F35" s="62" t="inlineStr">
        <is>
          <t>Conclusion / samples supported</t>
        </is>
      </c>
      <c r="G35" s="62" t="inlineStr">
        <is>
          <t>Control Sample Assessment Result (Pass/Fail)</t>
        </is>
      </c>
      <c r="H35" s="89" t="inlineStr">
        <is>
          <t>All references for this attribute (10) – click to open; key evidence in green</t>
        </is>
      </c>
    </row>
    <row r="36" ht="174" customHeight="1" s="73">
      <c r="A36" s="69" t="inlineStr">
        <is>
          <t>E03</t>
        </is>
      </c>
      <c r="B36" s="65" t="inlineStr">
        <is>
          <t>BSI.IT.6.C7.3-Evidences\04_Data_Integrity_and_Email_Testing_Evidence\BSI.IT.6.C7.3_E03_All Data Integrity Validation Testing_FV.xls</t>
        </is>
      </c>
      <c r="C36" s="65" t="inlineStr">
        <is>
          <t>BCiC – Data Integrity Validation Testing (62 records)</t>
        </is>
      </c>
      <c r="D36"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36" s="65" t="inlineStr">
        <is>
          <t>BCiC DIV export incl. Business Tester, Business Data Validation Date, Department Manager, Department Manager Approval Date, Y/N Format/Headers/Content, Attestation Date / Provided By. Row numbers quoted are Excel rows.
Checked for Business Data validation:
• Business Data Validation Date 11/15/2025; Y/N Format / Headers / Content = Y</t>
        </is>
      </c>
      <c r="F36" s="65" t="inlineStr">
        <is>
          <t>Supports Business Data validation (column F) – samples 1822, 1867, 1868, 3299, 4052, 3301, 1903, 1917, 1936, 1937</t>
        </is>
      </c>
      <c r="G36" s="67" t="inlineStr">
        <is>
          <t>PASS</t>
        </is>
      </c>
      <c r="H36" s="91" t="inlineStr">
        <is>
          <t>BLA01</t>
        </is>
      </c>
      <c r="I36" s="91" t="inlineStr">
        <is>
          <t>BLA02</t>
        </is>
      </c>
      <c r="J36" s="91" t="inlineStr">
        <is>
          <t>BLA03</t>
        </is>
      </c>
      <c r="K36" s="91" t="inlineStr">
        <is>
          <t>BLA04</t>
        </is>
      </c>
      <c r="L36" s="91" t="inlineStr">
        <is>
          <t>BLA05</t>
        </is>
      </c>
      <c r="M36" s="90" t="inlineStr">
        <is>
          <t>E03</t>
        </is>
      </c>
      <c r="N36" s="91" t="inlineStr">
        <is>
          <t>E04</t>
        </is>
      </c>
      <c r="O36" s="91" t="inlineStr">
        <is>
          <t>E07</t>
        </is>
      </c>
      <c r="P36" s="91" t="inlineStr">
        <is>
          <t>E08</t>
        </is>
      </c>
      <c r="Q36" s="91" t="inlineStr">
        <is>
          <t>E16b</t>
        </is>
      </c>
    </row>
    <row r="37" s="73"/>
    <row r="38" ht="15.5" customHeight="1" s="73">
      <c r="A38" s="87" t="inlineStr">
        <is>
          <t>6. Business line manager name (column G) – Review of evidence files and results</t>
        </is>
      </c>
    </row>
    <row r="39" ht="26" customHeight="1" s="73">
      <c r="A39" s="62" t="inlineStr">
        <is>
          <t>Ref</t>
        </is>
      </c>
      <c r="B39" s="62" t="inlineStr">
        <is>
          <t>Evidence file (repository location)</t>
        </is>
      </c>
      <c r="C39" s="62" t="inlineStr">
        <is>
          <t>Date / owner / operator</t>
        </is>
      </c>
      <c r="D39" s="62" t="inlineStr">
        <is>
          <t>Applications tested (source rows)</t>
        </is>
      </c>
      <c r="E39" s="62" t="inlineStr">
        <is>
          <t>Content reviewed</t>
        </is>
      </c>
      <c r="F39" s="62" t="inlineStr">
        <is>
          <t>Conclusion / samples supported</t>
        </is>
      </c>
      <c r="G39" s="62" t="inlineStr">
        <is>
          <t>Control Sample Assessment Result (Pass/Fail)</t>
        </is>
      </c>
      <c r="H39" s="89" t="inlineStr">
        <is>
          <t>All references for this attribute (16) – click to open; key evidence in green</t>
        </is>
      </c>
    </row>
    <row r="40" ht="174" customHeight="1" s="73">
      <c r="A40" s="69" t="inlineStr">
        <is>
          <t>E03</t>
        </is>
      </c>
      <c r="B40" s="65" t="inlineStr">
        <is>
          <t>BSI.IT.6.C7.3-Evidences\04_Data_Integrity_and_Email_Testing_Evidence\BSI.IT.6.C7.3_E03_All Data Integrity Validation Testing_FV.xls</t>
        </is>
      </c>
      <c r="C40" s="65" t="inlineStr">
        <is>
          <t>BCiC – Data Integrity Validation Testing (62 records)</t>
        </is>
      </c>
      <c r="D40"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0" s="65" t="inlineStr">
        <is>
          <t>BCiC DIV export incl. Business Tester, Business Data Validation Date, Department Manager, Department Manager Approval Date, Y/N Format/Headers/Content, Attestation Date / Provided By. Row numbers quoted are Excel rows.
Checked for Business line manager name:
• 'Department Manager' column</t>
        </is>
      </c>
      <c r="F40" s="65" t="inlineStr">
        <is>
          <t>Supports Business line manager name (column G) – samples 1822, 1867, 1868, 3299, 4052, 3301, 1903, 1917, 1936, 1937</t>
        </is>
      </c>
      <c r="G40" s="67" t="inlineStr">
        <is>
          <t>PASS</t>
        </is>
      </c>
      <c r="H40" s="91" t="inlineStr">
        <is>
          <t>BLA06</t>
        </is>
      </c>
      <c r="I40" s="91" t="inlineStr">
        <is>
          <t>DMA01</t>
        </is>
      </c>
      <c r="J40" s="91" t="inlineStr">
        <is>
          <t>DMA02</t>
        </is>
      </c>
      <c r="K40" s="91" t="inlineStr">
        <is>
          <t>DMA03</t>
        </is>
      </c>
      <c r="L40" s="91" t="inlineStr">
        <is>
          <t>DMA04</t>
        </is>
      </c>
      <c r="M40" s="91" t="inlineStr">
        <is>
          <t>DMA05</t>
        </is>
      </c>
      <c r="N40" s="91" t="inlineStr">
        <is>
          <t>DMA06</t>
        </is>
      </c>
      <c r="O40" s="91" t="inlineStr">
        <is>
          <t>DMA07</t>
        </is>
      </c>
      <c r="P40" s="91" t="inlineStr">
        <is>
          <t>DMA08</t>
        </is>
      </c>
      <c r="Q40" s="91" t="inlineStr">
        <is>
          <t>DMA09</t>
        </is>
      </c>
      <c r="R40" s="91" t="inlineStr">
        <is>
          <t>DMA10</t>
        </is>
      </c>
      <c r="S40" s="91" t="inlineStr">
        <is>
          <t>DMA11</t>
        </is>
      </c>
      <c r="T40" s="91" t="inlineStr">
        <is>
          <t>DMA12</t>
        </is>
      </c>
      <c r="U40" s="90" t="inlineStr">
        <is>
          <t>E03</t>
        </is>
      </c>
      <c r="V40" s="91" t="inlineStr">
        <is>
          <t>E04</t>
        </is>
      </c>
      <c r="W40" s="91" t="inlineStr">
        <is>
          <t>E09</t>
        </is>
      </c>
    </row>
    <row r="41" s="73"/>
    <row r="42" ht="15.5" customHeight="1" s="73">
      <c r="A42" s="87" t="inlineStr">
        <is>
          <t>7. Business line manager approval dates (column H) – Review of evidence files and results</t>
        </is>
      </c>
    </row>
    <row r="43" ht="26" customHeight="1" s="73">
      <c r="A43" s="62" t="inlineStr">
        <is>
          <t>Ref</t>
        </is>
      </c>
      <c r="B43" s="62" t="inlineStr">
        <is>
          <t>Evidence file (repository location)</t>
        </is>
      </c>
      <c r="C43" s="62" t="inlineStr">
        <is>
          <t>Date / owner / operator</t>
        </is>
      </c>
      <c r="D43" s="62" t="inlineStr">
        <is>
          <t>Applications tested (source rows)</t>
        </is>
      </c>
      <c r="E43" s="62" t="inlineStr">
        <is>
          <t>Content reviewed</t>
        </is>
      </c>
      <c r="F43" s="62" t="inlineStr">
        <is>
          <t>Conclusion / samples supported</t>
        </is>
      </c>
      <c r="G43" s="62" t="inlineStr">
        <is>
          <t>Control Sample Assessment Result (Pass/Fail)</t>
        </is>
      </c>
      <c r="H43" s="89" t="inlineStr">
        <is>
          <t>All references for this attribute (16) – click to open; key evidence in green</t>
        </is>
      </c>
    </row>
    <row r="44" ht="174" customHeight="1" s="73">
      <c r="A44" s="69" t="inlineStr">
        <is>
          <t>E03</t>
        </is>
      </c>
      <c r="B44" s="65" t="inlineStr">
        <is>
          <t>BSI.IT.6.C7.3-Evidences\04_Data_Integrity_and_Email_Testing_Evidence\BSI.IT.6.C7.3_E03_All Data Integrity Validation Testing_FV.xls</t>
        </is>
      </c>
      <c r="C44" s="65" t="inlineStr">
        <is>
          <t>BCiC – Data Integrity Validation Testing (62 records)</t>
        </is>
      </c>
      <c r="D44"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4" s="65" t="inlineStr">
        <is>
          <t>BCiC DIV export incl. Business Tester, Business Data Validation Date, Department Manager, Department Manager Approval Date, Y/N Format/Headers/Content, Attestation Date / Provided By. Row numbers quoted are Excel rows.
Checked for Business line manager approval dates:
• 'Department Manager Approval Date' and 'Attestation Date' columns</t>
        </is>
      </c>
      <c r="F44" s="65" t="inlineStr">
        <is>
          <t>Supports Business line manager approval dates (column H) – samples 1822, 1867, 1868, 3299, 4052, 3301, 1903, 1917, 1936, 1937</t>
        </is>
      </c>
      <c r="G44" s="67" t="inlineStr">
        <is>
          <t>PASS</t>
        </is>
      </c>
      <c r="H44" s="91" t="inlineStr">
        <is>
          <t>BLA06</t>
        </is>
      </c>
      <c r="I44" s="91" t="inlineStr">
        <is>
          <t>DMA01</t>
        </is>
      </c>
      <c r="J44" s="91" t="inlineStr">
        <is>
          <t>DMA02</t>
        </is>
      </c>
      <c r="K44" s="91" t="inlineStr">
        <is>
          <t>DMA03</t>
        </is>
      </c>
      <c r="L44" s="91" t="inlineStr">
        <is>
          <t>DMA04</t>
        </is>
      </c>
      <c r="M44" s="91" t="inlineStr">
        <is>
          <t>DMA05</t>
        </is>
      </c>
      <c r="N44" s="91" t="inlineStr">
        <is>
          <t>DMA06</t>
        </is>
      </c>
      <c r="O44" s="91" t="inlineStr">
        <is>
          <t>DMA07</t>
        </is>
      </c>
      <c r="P44" s="91" t="inlineStr">
        <is>
          <t>DMA08</t>
        </is>
      </c>
      <c r="Q44" s="91" t="inlineStr">
        <is>
          <t>DMA09</t>
        </is>
      </c>
      <c r="R44" s="91" t="inlineStr">
        <is>
          <t>DMA10</t>
        </is>
      </c>
      <c r="S44" s="91" t="inlineStr">
        <is>
          <t>DMA11</t>
        </is>
      </c>
      <c r="T44" s="91" t="inlineStr">
        <is>
          <t>DMA12</t>
        </is>
      </c>
      <c r="U44" s="90" t="inlineStr">
        <is>
          <t>E03</t>
        </is>
      </c>
      <c r="V44" s="91" t="inlineStr">
        <is>
          <t>E04</t>
        </is>
      </c>
      <c r="W44" s="91" t="inlineStr">
        <is>
          <t>E09</t>
        </is>
      </c>
    </row>
    <row r="45" s="73"/>
    <row r="46" ht="15.5" customHeight="1" s="73">
      <c r="A46" s="87" t="inlineStr">
        <is>
          <t>8. DIV Test procedures listed within the Test results document (column I) – Review of evidence files and results</t>
        </is>
      </c>
    </row>
    <row r="47" ht="26" customHeight="1" s="73">
      <c r="A47" s="62" t="inlineStr">
        <is>
          <t>Ref</t>
        </is>
      </c>
      <c r="B47" s="62" t="inlineStr">
        <is>
          <t>Evidence file (repository location)</t>
        </is>
      </c>
      <c r="C47" s="62" t="inlineStr">
        <is>
          <t>Date / owner / operator</t>
        </is>
      </c>
      <c r="D47" s="62" t="inlineStr">
        <is>
          <t>Applications tested (source rows)</t>
        </is>
      </c>
      <c r="E47" s="62" t="inlineStr">
        <is>
          <t>Content reviewed</t>
        </is>
      </c>
      <c r="F47" s="62" t="inlineStr">
        <is>
          <t>Conclusion / samples supported</t>
        </is>
      </c>
      <c r="G47" s="62" t="inlineStr">
        <is>
          <t>Control Sample Assessment Result (Pass/Fail)</t>
        </is>
      </c>
      <c r="H47" s="89" t="inlineStr">
        <is>
          <t>All references for this attribute (7) – click to open; key evidence in green</t>
        </is>
      </c>
    </row>
    <row r="48" ht="174" customHeight="1" s="73">
      <c r="A48" s="69" t="inlineStr">
        <is>
          <t>E03</t>
        </is>
      </c>
      <c r="B48" s="65" t="inlineStr">
        <is>
          <t>BSI.IT.6.C7.3-Evidences\04_Data_Integrity_and_Email_Testing_Evidence\BSI.IT.6.C7.3_E03_All Data Integrity Validation Testing_FV.xls</t>
        </is>
      </c>
      <c r="C48" s="65" t="inlineStr">
        <is>
          <t>BCiC – Data Integrity Validation Testing (62 records)</t>
        </is>
      </c>
      <c r="D48"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48" s="65" t="inlineStr">
        <is>
          <t>BCiC DIV export incl. Business Tester, Business Data Validation Date, Department Manager, Department Manager Approval Date, Y/N Format/Headers/Content, Attestation Date / Provided By. Row numbers quoted are Excel rows.
Checked for DIV Test procedures listed within the Test results document:
• 'Data Integrity Validation Procedures' column</t>
        </is>
      </c>
      <c r="F48" s="65" t="inlineStr">
        <is>
          <t>Supports DIV Test procedures listed within the Test results document (column I) – samples 1822, 1867, 1868, 3299, 4052, 3301, 1903, 1917, 1936, 1937</t>
        </is>
      </c>
      <c r="G48" s="67" t="inlineStr">
        <is>
          <t>PASS</t>
        </is>
      </c>
      <c r="H48" s="91" t="inlineStr">
        <is>
          <t>BLA01</t>
        </is>
      </c>
      <c r="I48" s="91" t="inlineStr">
        <is>
          <t>BLA02</t>
        </is>
      </c>
      <c r="J48" s="91" t="inlineStr">
        <is>
          <t>BLA03</t>
        </is>
      </c>
      <c r="K48" s="91" t="inlineStr">
        <is>
          <t>BLA04</t>
        </is>
      </c>
      <c r="L48" s="91" t="inlineStr">
        <is>
          <t>BLA05</t>
        </is>
      </c>
      <c r="M48" s="90" t="inlineStr">
        <is>
          <t>E03</t>
        </is>
      </c>
      <c r="N48" s="91" t="inlineStr">
        <is>
          <t>E16b</t>
        </is>
      </c>
    </row>
    <row r="49" s="73"/>
    <row r="50" ht="15.5" customHeight="1" s="73">
      <c r="A50" s="87" t="inlineStr">
        <is>
          <t>9. Emails showing Business line manager approval of DIV testing results (column J) – Review of evidence files and results</t>
        </is>
      </c>
    </row>
    <row r="51" ht="26" customHeight="1" s="73">
      <c r="A51" s="62" t="inlineStr">
        <is>
          <t>Ref</t>
        </is>
      </c>
      <c r="B51" s="62" t="inlineStr">
        <is>
          <t>Evidence file (repository location)</t>
        </is>
      </c>
      <c r="C51" s="62" t="inlineStr">
        <is>
          <t>Date / owner / operator</t>
        </is>
      </c>
      <c r="D51" s="62" t="inlineStr">
        <is>
          <t>Applications tested (source rows)</t>
        </is>
      </c>
      <c r="E51" s="62" t="inlineStr">
        <is>
          <t>Content reviewed</t>
        </is>
      </c>
      <c r="F51" s="62" t="inlineStr">
        <is>
          <t>Conclusion / samples supported</t>
        </is>
      </c>
      <c r="G51" s="62" t="inlineStr">
        <is>
          <t>Control Sample Assessment Result (Pass/Fail)</t>
        </is>
      </c>
      <c r="H51" s="89" t="inlineStr">
        <is>
          <t>All references for this attribute (14) – click to open; key evidence in green</t>
        </is>
      </c>
    </row>
    <row r="52" ht="90" customHeight="1" s="73">
      <c r="A52" s="69" t="inlineStr">
        <is>
          <t>BLA06</t>
        </is>
      </c>
      <c r="B52" s="65" t="inlineStr">
        <is>
          <t>BSI.IT.6.C7.3-Evidences\02_Business_Line_Approval_Results_Email\BLA06_RE_ Testing enviroment - Financial Analysis Manager Approval - Sadis Alvarenga 01-26-2026.msg</t>
        </is>
      </c>
      <c r="C52" s="65" t="inlineStr">
        <is>
          <t>12/31/2025 &amp; 01/26/2026 – Sadis Alvarenga</t>
        </is>
      </c>
      <c r="D52" s="65" t="inlineStr">
        <is>
          <t>1917 ReconXpert
1937 T24</t>
        </is>
      </c>
      <c r="E52" s="65" t="inlineStr">
        <is>
          <t>Sadis Alvarenga (Financial Analysis &amp; Control manager) replies "Approved." on 12/31/2025 and again on 01/26/2026 to Elizabeth Noda's request to approve the submitted test script.
Checked for Emails showing Business line manager approval of DIV testing results:
• Application / record agreed to the evidence.</t>
        </is>
      </c>
      <c r="F52" s="65" t="inlineStr">
        <is>
          <t>Supports Emails showing Business line manager approval of DIV testing results (column J) – samples 1917, 1937</t>
        </is>
      </c>
      <c r="G52" s="67" t="inlineStr">
        <is>
          <t>PASS</t>
        </is>
      </c>
      <c r="H52" s="90" t="inlineStr">
        <is>
          <t>BLA06</t>
        </is>
      </c>
      <c r="I52" s="90" t="inlineStr">
        <is>
          <t>DMA01</t>
        </is>
      </c>
      <c r="J52" s="90" t="inlineStr">
        <is>
          <t>DMA02</t>
        </is>
      </c>
      <c r="K52" s="90" t="inlineStr">
        <is>
          <t>DMA03</t>
        </is>
      </c>
      <c r="L52" s="90" t="inlineStr">
        <is>
          <t>DMA04</t>
        </is>
      </c>
      <c r="M52" s="91" t="inlineStr">
        <is>
          <t>DMA05</t>
        </is>
      </c>
      <c r="N52" s="91" t="inlineStr">
        <is>
          <t>DMA06</t>
        </is>
      </c>
      <c r="O52" s="91" t="inlineStr">
        <is>
          <t>DMA07</t>
        </is>
      </c>
      <c r="P52" s="91" t="inlineStr">
        <is>
          <t>DMA08</t>
        </is>
      </c>
      <c r="Q52" s="91" t="inlineStr">
        <is>
          <t>DMA09</t>
        </is>
      </c>
      <c r="R52" s="91" t="inlineStr">
        <is>
          <t>DMA10</t>
        </is>
      </c>
      <c r="S52" s="91" t="inlineStr">
        <is>
          <t>DMA11</t>
        </is>
      </c>
      <c r="T52" s="91" t="inlineStr">
        <is>
          <t>DMA12</t>
        </is>
      </c>
      <c r="U52" s="91" t="inlineStr">
        <is>
          <t>E09</t>
        </is>
      </c>
    </row>
    <row r="53" ht="90" customHeight="1" s="73">
      <c r="A53" s="69" t="inlineStr">
        <is>
          <t>DMA01</t>
        </is>
      </c>
      <c r="B53" s="65" t="inlineStr">
        <is>
          <t>BSI.IT.6.C7.3-Evidences\03_DIV_Manager_Attestation_Email_Approvals\DMA01_RE_ Management Attestation – DIV – Client Back Office - Claudia Romero 08-18-2026.msg</t>
        </is>
      </c>
      <c r="C53" s="65" t="inlineStr">
        <is>
          <t>08/18/2026 – Claudia Romero</t>
        </is>
      </c>
      <c r="D53" s="65" t="inlineStr">
        <is>
          <t>1822 ACH Express
1867 FedExport - BSI
1868 FedImport - BSI
3299 Imaging101
1937 T24</t>
        </is>
      </c>
      <c r="E53" s="65" t="inlineStr">
        <is>
          <t>Claudia Romero (Client Back Office Manager VP) returns the signed Management Attestation – attachment: Data_Integrity_Attestation_Santander-BCiC (002).pdf (signed Claudia Romero).
Checked for Emails showing Business line manager approval of DIV testing results:
• Application / record agreed to the evidence.</t>
        </is>
      </c>
      <c r="F53" s="65" t="inlineStr">
        <is>
          <t>Supports Emails showing Business line manager approval of DIV testing results (column J) – samples 1822, 1867, 1868, 3299, 1937</t>
        </is>
      </c>
      <c r="G53" s="67" t="inlineStr">
        <is>
          <t>PASS</t>
        </is>
      </c>
    </row>
    <row r="54" ht="148" customHeight="1" s="73">
      <c r="A54" s="69" t="inlineStr">
        <is>
          <t>DMA02</t>
        </is>
      </c>
      <c r="B54" s="65" t="inlineStr">
        <is>
          <t>BSI.IT.6.C7.3-Evidences\03_DIV_Manager_Attestation_Email_Approvals\DMA02_RE_ Management Attestation – DIV – BSA-AML-OFAC Compliance - David Marquez 08-19-2026.msg</t>
        </is>
      </c>
      <c r="C54" s="65" t="inlineStr">
        <is>
          <t>08/19/2026 – David Marquez</t>
        </is>
      </c>
      <c r="D54" s="65" t="inlineStr">
        <is>
          <t>3299 Imaging101
1903 OFAC - BSI
1936 Swift Interface - BSI
1937 T24</t>
        </is>
      </c>
      <c r="E54"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Emails showing Business line manager approval of DIV testing results:
• Application / record agreed to the evidence.</t>
        </is>
      </c>
      <c r="F54" s="65" t="inlineStr">
        <is>
          <t>Supports Emails showing Business line manager approval of DIV testing results (column J) – samples 3299, 1903, 1936, 1937</t>
        </is>
      </c>
      <c r="G54" s="67" t="inlineStr">
        <is>
          <t>PASS</t>
        </is>
      </c>
    </row>
    <row r="55" ht="90" customHeight="1" s="73">
      <c r="A55" s="69" t="inlineStr">
        <is>
          <t>DMA03</t>
        </is>
      </c>
      <c r="B55" s="65" t="inlineStr">
        <is>
          <t>BSI.IT.6.C7.3-Evidences\03_DIV_Manager_Attestation_Email_Approvals\DMA03_RE_ Management Attestation – DIV – Payments &amp; Cash Management - Frank Puentes 08-18-2026.msg</t>
        </is>
      </c>
      <c r="C55" s="65" t="inlineStr">
        <is>
          <t>08/18/2026 – Frank Puentes</t>
        </is>
      </c>
      <c r="D55" s="65" t="inlineStr">
        <is>
          <t>3301 MQ Payment Monitor
1903 OFAC - BSI
1937 T24</t>
        </is>
      </c>
      <c r="E55" s="65" t="inlineStr">
        <is>
          <t>Frank Puentes returns the signed attestation – attachment: 4069_001.pdf (scan, signed Executive Director, Payments &amp; Cash Management, 8/18/2026).
Checked for Emails showing Business line manager approval of DIV testing results:
• Application / record agreed to the evidence.</t>
        </is>
      </c>
      <c r="F55" s="65" t="inlineStr">
        <is>
          <t>Supports Emails showing Business line manager approval of DIV testing results (column J) – samples 3301, 1903, 1937</t>
        </is>
      </c>
      <c r="G55" s="67" t="inlineStr">
        <is>
          <t>PASS</t>
        </is>
      </c>
    </row>
    <row r="56" ht="100" customHeight="1" s="73">
      <c r="A56" s="69" t="inlineStr">
        <is>
          <t>DMA04</t>
        </is>
      </c>
      <c r="B56" s="65" t="inlineStr">
        <is>
          <t>BSI.IT.6.C7.3-Evidences\03_DIV_Manager_Attestation_Email_Approvals\DMA04_RE_ Management Attestation – DIV – Investment Operations - Michelle Oropesa 08-17-2026.msg</t>
        </is>
      </c>
      <c r="C56" s="65" t="inlineStr">
        <is>
          <t>08/17/2026 – Michelle Oropesa</t>
        </is>
      </c>
      <c r="D56" s="65" t="inlineStr">
        <is>
          <t>4052 Interface Monitor
1936 Swift Interface - BSI
1937 T24</t>
        </is>
      </c>
      <c r="E56" s="65" t="inlineStr">
        <is>
          <t>Michelle Oropesa (Investment Operations Director) returns the signed attestation – attachment: Data_Integrity_Attestation_Santander-BCiC.pdf (signed Investment Operations Director, VP, 8/17/2026).
Checked for Emails showing Business line manager approval of DIV testing results:
• Application / record agreed to the evidence.</t>
        </is>
      </c>
      <c r="F56" s="65" t="inlineStr">
        <is>
          <t>Supports Emails showing Business line manager approval of DIV testing results (column J) – samples 4052, 1936, 1937</t>
        </is>
      </c>
      <c r="G56" s="67" t="inlineStr">
        <is>
          <t>PASS</t>
        </is>
      </c>
    </row>
    <row r="57" s="73"/>
    <row r="58" ht="15.5" customHeight="1" s="73">
      <c r="A58" s="87" t="inlineStr">
        <is>
          <t>10. All evidence of Data Integrity DR test in BCIC (column K) – Review of evidence files and results</t>
        </is>
      </c>
    </row>
    <row r="59" ht="26" customHeight="1" s="73">
      <c r="A59" s="62" t="inlineStr">
        <is>
          <t>Ref</t>
        </is>
      </c>
      <c r="B59" s="62" t="inlineStr">
        <is>
          <t>Evidence file (repository location)</t>
        </is>
      </c>
      <c r="C59" s="62" t="inlineStr">
        <is>
          <t>Date / owner / operator</t>
        </is>
      </c>
      <c r="D59" s="62" t="inlineStr">
        <is>
          <t>Applications tested (source rows)</t>
        </is>
      </c>
      <c r="E59" s="62" t="inlineStr">
        <is>
          <t>Content reviewed</t>
        </is>
      </c>
      <c r="F59" s="62" t="inlineStr">
        <is>
          <t>Conclusion / samples supported</t>
        </is>
      </c>
      <c r="G59" s="62" t="inlineStr">
        <is>
          <t>Control Sample Assessment Result (Pass/Fail)</t>
        </is>
      </c>
      <c r="H59" s="89" t="inlineStr">
        <is>
          <t>All references for this attribute (6) – click to open; key evidence in green</t>
        </is>
      </c>
    </row>
    <row r="60" ht="174" customHeight="1" s="73">
      <c r="A60" s="69" t="inlineStr">
        <is>
          <t>E03</t>
        </is>
      </c>
      <c r="B60" s="65" t="inlineStr">
        <is>
          <t>BSI.IT.6.C7.3-Evidences\04_Data_Integrity_and_Email_Testing_Evidence\BSI.IT.6.C7.3_E03_All Data Integrity Validation Testing_FV.xls</t>
        </is>
      </c>
      <c r="C60" s="65" t="inlineStr">
        <is>
          <t>BCiC – Data Integrity Validation Testing (62 records)</t>
        </is>
      </c>
      <c r="D60" s="65" t="inlineStr">
        <is>
          <t>1822 ACH Express – E03 row 47
1867 FedExport - BSI – E03 row 9
1868 FedImport - BSI – E03 row 10
3299 Imaging101 – E03 row 5, 11, 13, 51, 53, 57
4052 Interface Monitor – E03 row 61
3301 MQ Payment Monitor – E03 row 25, 29
1903 OFAC - BSI – E03 row 6, 26, 30, 34, 58
1917 ReconXpert – E03 row 17
1936 Swift Interface - BSI – E03 row 7, 60
1937 T24 – E03 row 3, 8, 12, 14, 15, 16, 18, 19, 20, 21, 23, 27, 31, 33, 35, 36, 37, 38, 39, 40, 41, 42, 43, 44, 45, 46, 48, 49, 50, 52, 54, 55, 56, 59, 62, 63</t>
        </is>
      </c>
      <c r="E60" s="65" t="inlineStr">
        <is>
          <t>BCiC DIV export incl. Business Tester, Business Data Validation Date, Department Manager, Department Manager Approval Date, Y/N Format/Headers/Content, Attestation Date / Provided By. Row numbers quoted are Excel rows.
Checked for All evidence of Data Integrity DR test in BCIC:
• BCiC DIV export (tester, dates, manager, Y/N results, attestation)</t>
        </is>
      </c>
      <c r="F60" s="65" t="inlineStr">
        <is>
          <t>Supports All evidence of Data Integrity DR test in BCIC (column K) – samples 1822, 1867, 1868, 3299, 4052, 3301, 1903, 1917, 1936, 1937</t>
        </is>
      </c>
      <c r="G60" s="67" t="inlineStr">
        <is>
          <t>PASS</t>
        </is>
      </c>
      <c r="H60" s="91" t="inlineStr">
        <is>
          <t>MA01</t>
        </is>
      </c>
      <c r="I60" s="91" t="inlineStr">
        <is>
          <t>E01</t>
        </is>
      </c>
      <c r="J60" s="91" t="inlineStr">
        <is>
          <t>E02</t>
        </is>
      </c>
      <c r="K60" s="90" t="inlineStr">
        <is>
          <t>E03</t>
        </is>
      </c>
      <c r="L60" s="91" t="inlineStr">
        <is>
          <t>E04</t>
        </is>
      </c>
      <c r="M60" s="91" t="inlineStr">
        <is>
          <t>E16b</t>
        </is>
      </c>
    </row>
    <row r="61" s="73"/>
    <row r="62" ht="15.5" customHeight="1" s="73">
      <c r="A62" s="87" t="inlineStr">
        <is>
          <t>11. Annual Testing Executed (column L) – Review of evidence files and results</t>
        </is>
      </c>
    </row>
    <row r="63" ht="26" customHeight="1" s="73">
      <c r="A63" s="62" t="inlineStr">
        <is>
          <t>Ref</t>
        </is>
      </c>
      <c r="B63" s="62" t="inlineStr">
        <is>
          <t>Evidence file (repository location)</t>
        </is>
      </c>
      <c r="C63" s="62" t="inlineStr">
        <is>
          <t>Date / owner / operator</t>
        </is>
      </c>
      <c r="D63" s="62" t="inlineStr">
        <is>
          <t>Applications tested (source rows)</t>
        </is>
      </c>
      <c r="E63" s="62" t="inlineStr">
        <is>
          <t>Content reviewed</t>
        </is>
      </c>
      <c r="F63" s="62" t="inlineStr">
        <is>
          <t>Conclusion / samples supported</t>
        </is>
      </c>
      <c r="G63" s="62" t="inlineStr">
        <is>
          <t>Control Sample Assessment Result (Pass/Fail)</t>
        </is>
      </c>
      <c r="H63" s="89" t="inlineStr">
        <is>
          <t>All references for this attribute (8) – click to open; key evidence in green</t>
        </is>
      </c>
    </row>
    <row r="64" ht="126" customHeight="1" s="73">
      <c r="A64" s="69" t="inlineStr">
        <is>
          <t>E01</t>
        </is>
      </c>
      <c r="B64" s="65" t="inlineStr">
        <is>
          <t>BSI.IT.6.C7.3-Evidences\04_Data_Integrity_and_Email_Testing_Evidence\BSI.IT.6.C7.3_E01_Applications In Scope for DR Test BSI (13).xlsx</t>
        </is>
      </c>
      <c r="C64" s="65" t="inlineStr">
        <is>
          <t>BCiC – Applications In Scope for DR Test BSI</t>
        </is>
      </c>
      <c r="D64" s="65" t="inlineStr">
        <is>
          <t>1822 ACH Express – E01 row 3
1867 FedExport - BSI – E01 row 19
1868 FedImport - BSI – E01 row 20
3299 Imaging101 – E01 row 24
4052 Interface Monitor – E01 row 25
3301 MQ Payment Monitor – E01 row 31
1903 OFAC - BSI – E01 row 34
1917 ReconXpert – E01 row 36
1936 Swift Interface - BSI – E01 row 42
1937 T24 – E01 row 43</t>
        </is>
      </c>
      <c r="E64" s="65" t="inlineStr">
        <is>
          <t>BCiC export of the BSI DR-scope population (43 applications) with Exercise Date and 2025 DR / Backup-Restore / DIV scope flags.
Checked for Annual Testing Executed:
• Exercise Date 12/11/2025 / 2025 DR Test Scope = True
• Exercise Date 11/15/2025 / 2025 DR Test Scope = True</t>
        </is>
      </c>
      <c r="F64" s="65" t="inlineStr">
        <is>
          <t>Supports Annual Testing Executed (column L) – samples 1822, 1867, 1868, 3299, 4052, 3301, 1903, 1917, 1936, 1937</t>
        </is>
      </c>
      <c r="G64" s="67" t="inlineStr">
        <is>
          <t>PASS</t>
        </is>
      </c>
      <c r="H64" s="91" t="inlineStr">
        <is>
          <t>BLA01</t>
        </is>
      </c>
      <c r="I64" s="91" t="inlineStr">
        <is>
          <t>BLA02</t>
        </is>
      </c>
      <c r="J64" s="91" t="inlineStr">
        <is>
          <t>BLA03</t>
        </is>
      </c>
      <c r="K64" s="91" t="inlineStr">
        <is>
          <t>BLA04</t>
        </is>
      </c>
      <c r="L64" s="91" t="inlineStr">
        <is>
          <t>BLA05</t>
        </is>
      </c>
      <c r="M64" s="91" t="inlineStr">
        <is>
          <t>DMA02</t>
        </is>
      </c>
      <c r="N64" s="90" t="inlineStr">
        <is>
          <t>E01</t>
        </is>
      </c>
      <c r="O64" s="91" t="inlineStr">
        <is>
          <t>E03</t>
        </is>
      </c>
    </row>
    <row r="65" s="73"/>
    <row r="66" ht="15.5" customHeight="1" s="73">
      <c r="A66" s="87" t="inlineStr">
        <is>
          <t>12. Data Integrity Validation Performed by IT DR Team (column M) – Review of evidence files and results</t>
        </is>
      </c>
    </row>
    <row r="67" ht="26" customHeight="1" s="73">
      <c r="A67" s="62" t="inlineStr">
        <is>
          <t>Ref</t>
        </is>
      </c>
      <c r="B67" s="62" t="inlineStr">
        <is>
          <t>Evidence file (repository location)</t>
        </is>
      </c>
      <c r="C67" s="62" t="inlineStr">
        <is>
          <t>Date / owner / operator</t>
        </is>
      </c>
      <c r="D67" s="62" t="inlineStr">
        <is>
          <t>Applications tested (source rows)</t>
        </is>
      </c>
      <c r="E67" s="62" t="inlineStr">
        <is>
          <t>Content reviewed</t>
        </is>
      </c>
      <c r="F67" s="62" t="inlineStr">
        <is>
          <t>Conclusion / samples supported</t>
        </is>
      </c>
      <c r="G67" s="62" t="inlineStr">
        <is>
          <t>Control Sample Assessment Result (Pass/Fail)</t>
        </is>
      </c>
      <c r="H67" s="89" t="inlineStr">
        <is>
          <t>All references for this attribute (11) – click to open; key evidence in green</t>
        </is>
      </c>
    </row>
    <row r="68" ht="126" customHeight="1" s="73">
      <c r="A68" s="69" t="inlineStr">
        <is>
          <t>E05</t>
        </is>
      </c>
      <c r="B68" s="65" t="inlineStr">
        <is>
          <t>BSI.IT.6.C7.3-Evidences\04_Data_Integrity_and_Email_Testing_Evidence\BSI.IT.6.C7.3_E05_IT BIA Results Review and preparation for DR .msg</t>
        </is>
      </c>
      <c r="C68" s="65" t="inlineStr">
        <is>
          <t>09/15/2025 – Elizabeth Noda</t>
        </is>
      </c>
      <c r="D68" s="65" t="inlineStr">
        <is>
          <t>1822 ACH Express
1867 FedExport - BSI
1868 FedImport - BSI
3299 Imaging101
4052 Interface Monitor
3301 MQ Payment Monitor
1903 OFAC - BSI
1917 ReconXpert
1936 Swift Interface - BSI
1937 T24</t>
        </is>
      </c>
      <c r="E68" s="65" t="inlineStr">
        <is>
          <t>IT DR meeting invite to review the 2025 BIA results and applications list ahead of the DR exercise (same invite re-sent 09/18/2025 – duplicate E06 removed).
Checked for Data Integrity Validation Performed by IT DR Team:
• IT DR: 2025 BIA results &amp; applications list review (invite 09/15/2025, re-sent 09/18/2025)</t>
        </is>
      </c>
      <c r="F68" s="65" t="inlineStr">
        <is>
          <t>Supports Data Integrity Validation Performed by IT DR Team (column M) – samples 1822, 1867, 1868, 3299, 4052, 3301, 1903, 1917, 1936, 1937</t>
        </is>
      </c>
      <c r="G68" s="67" t="inlineStr">
        <is>
          <t>PASS</t>
        </is>
      </c>
      <c r="H68" s="91" t="inlineStr">
        <is>
          <t>BLA01</t>
        </is>
      </c>
      <c r="I68" s="91" t="inlineStr">
        <is>
          <t>BLA02</t>
        </is>
      </c>
      <c r="J68" s="91" t="inlineStr">
        <is>
          <t>BLA03</t>
        </is>
      </c>
      <c r="K68" s="91" t="inlineStr">
        <is>
          <t>BLA04</t>
        </is>
      </c>
      <c r="L68" s="91" t="inlineStr">
        <is>
          <t>BLA05</t>
        </is>
      </c>
      <c r="M68" s="91" t="inlineStr">
        <is>
          <t>DMA02</t>
        </is>
      </c>
      <c r="N68" s="91" t="inlineStr">
        <is>
          <t>E03</t>
        </is>
      </c>
      <c r="O68" s="90" t="inlineStr">
        <is>
          <t>E05</t>
        </is>
      </c>
      <c r="P68" s="91" t="inlineStr">
        <is>
          <t>E08</t>
        </is>
      </c>
      <c r="Q68" s="91" t="inlineStr">
        <is>
          <t>E09</t>
        </is>
      </c>
      <c r="R68" s="91" t="inlineStr">
        <is>
          <t>E10</t>
        </is>
      </c>
    </row>
    <row r="69" s="73"/>
    <row r="70" ht="15.5" customHeight="1" s="73">
      <c r="A70" s="87" t="inlineStr">
        <is>
          <t>13. Applications in Scope Identified (column N) – Review of evidence files and results</t>
        </is>
      </c>
    </row>
    <row r="71" ht="26" customHeight="1" s="73">
      <c r="A71" s="62" t="inlineStr">
        <is>
          <t>Ref</t>
        </is>
      </c>
      <c r="B71" s="62" t="inlineStr">
        <is>
          <t>Evidence file (repository location)</t>
        </is>
      </c>
      <c r="C71" s="62" t="inlineStr">
        <is>
          <t>Date / owner / operator</t>
        </is>
      </c>
      <c r="D71" s="62" t="inlineStr">
        <is>
          <t>Applications tested (source rows)</t>
        </is>
      </c>
      <c r="E71" s="62" t="inlineStr">
        <is>
          <t>Content reviewed</t>
        </is>
      </c>
      <c r="F71" s="62" t="inlineStr">
        <is>
          <t>Conclusion / samples supported</t>
        </is>
      </c>
      <c r="G71" s="62" t="inlineStr">
        <is>
          <t>Control Sample Assessment Result (Pass/Fail)</t>
        </is>
      </c>
      <c r="H71" s="89" t="inlineStr">
        <is>
          <t>All references for this attribute (6) – click to open; key evidence in green</t>
        </is>
      </c>
    </row>
    <row r="72" ht="409" customHeight="1" s="73">
      <c r="A72" s="69" t="inlineStr">
        <is>
          <t>MA01</t>
        </is>
      </c>
      <c r="B72" s="65" t="inlineStr">
        <is>
          <t>BSI.IT.6.C7.3-Evidences\01_Management_Attestation_In-Scope_Applications\MA01_BSI In-Scope Applications-2026.png</t>
        </is>
      </c>
      <c r="C72" s="65" t="inlineStr">
        <is>
          <t>09/23/2026 – Cesar Vidal (BCiC walkthrough)</t>
        </is>
      </c>
      <c r="D72" s="65" t="inlineStr">
        <is>
          <t>1822 ACH Express
1867 FedExport - BSI
1868 FedImport - BSI
3299 Imaging101
4052 Interface Monitor
3301 MQ Payment Monitor
1903 OFAC - BSI
1917 ReconXpert
1936 Swift Interface - BSI
1937 T24</t>
        </is>
      </c>
      <c r="E72"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 BSI In-Scope Applications-2026 – App ID 1822 selected; 2025 DR Test Scope, 2025 Backup/Restore Test Scope and 2025 Backup/Restore DIV Scope = True
• BSI In-Scope Applications-2026 – App ID 1867 selected; 2025 DR Test Scope, 2025 Backup/Restore Test Scope and 2025 Backup/Restore DIV Scope = True
• BSI In-Scope Applications-2026 – App ID 1868 selected; 2025 DR Test Scope, 2025 Backup/Restore Test Scope and 2025 Backup/Restore DIV Scope = True
• BSI In-Scope Applications-2026 – App ID 3299 selected; 2025 DR Test Scope, 2025 Backup/Restore Test Scope and 2025 Backup/Restore DIV Scope = True
• BSI In-Scope Applications-2026 – App ID 4052 selected; 2025 DR Test Scope, 2025 Backup/Restore Test Scope and 2025 Backup/Restore DIV Scope = True
• BSI In-Scope Applications-2026 – App ID 3301 selected; 2025 DR Test Scope, 2025 Backup/Restore Test Scope and 2025 Backup/Restore DIV Scope = True
• BSI In-Scope Applications-2026 – App ID 1903 selected; 2025 DR Test Scope, 2025 Backup/Restore Test Scope and 2025 Backup/Restore DIV Scope = True
• BSI In-Scope Applications-2026 – App ID 1917 selected; 2025 DR Test Scope, 2025 Backup/Restore Test Scope and 2025 Backup/Restore DIV Scope = True
• BSI In-Scope Applications-2026 – App ID 1936 selected; 2025 DR Test Scope, 2025 Backup/Restore Test Scope and 2025 Backup/Restore DIV Scope = True
• BSI In-Scope Applications-2026 – App ID 1937 selected; 2025 DR Test Scope, 2025 Backup/Restore Test Scope and 2025 Backup/Restore DIV Scope = True</t>
        </is>
      </c>
      <c r="F72" s="65" t="inlineStr">
        <is>
          <t>Supports Applications in Scope Identified (column N) – samples 1822, 1867, 1868, 3299, 4052, 3301, 1903, 1917, 1936, 1937</t>
        </is>
      </c>
      <c r="G72" s="67" t="inlineStr">
        <is>
          <t>PASS</t>
        </is>
      </c>
      <c r="H72" s="91" t="inlineStr">
        <is>
          <t>DMA02</t>
        </is>
      </c>
      <c r="I72" s="90" t="inlineStr">
        <is>
          <t>MA01</t>
        </is>
      </c>
      <c r="J72" s="91" t="inlineStr">
        <is>
          <t>E01</t>
        </is>
      </c>
      <c r="K72" s="91" t="inlineStr">
        <is>
          <t>E02</t>
        </is>
      </c>
      <c r="L72" s="91" t="inlineStr">
        <is>
          <t>E05</t>
        </is>
      </c>
      <c r="M72" s="91" t="inlineStr">
        <is>
          <t>E09</t>
        </is>
      </c>
    </row>
    <row r="73" s="73"/>
    <row r="74" ht="15.5" customHeight="1" s="73">
      <c r="A74" s="87" t="inlineStr">
        <is>
          <t>14. Business Line Approval of Results (column O) – Review of evidence files and results</t>
        </is>
      </c>
    </row>
    <row r="75" ht="26" customHeight="1" s="73">
      <c r="A75" s="62" t="inlineStr">
        <is>
          <t>Ref</t>
        </is>
      </c>
      <c r="B75" s="62" t="inlineStr">
        <is>
          <t>Evidence file (repository location)</t>
        </is>
      </c>
      <c r="C75" s="62" t="inlineStr">
        <is>
          <t>Date / owner / operator</t>
        </is>
      </c>
      <c r="D75" s="62" t="inlineStr">
        <is>
          <t>Applications tested (source rows)</t>
        </is>
      </c>
      <c r="E75" s="62" t="inlineStr">
        <is>
          <t>Content reviewed</t>
        </is>
      </c>
      <c r="F75" s="62" t="inlineStr">
        <is>
          <t>Conclusion / samples supported</t>
        </is>
      </c>
      <c r="G75" s="62" t="inlineStr">
        <is>
          <t>Control Sample Assessment Result (Pass/Fail)</t>
        </is>
      </c>
      <c r="H75" s="89" t="inlineStr">
        <is>
          <t>All references for this attribute (20) – click to open; key evidence in green</t>
        </is>
      </c>
    </row>
    <row r="76" ht="78" customHeight="1" s="73">
      <c r="A76" s="69" t="inlineStr">
        <is>
          <t>BLA06</t>
        </is>
      </c>
      <c r="B76" s="65" t="inlineStr">
        <is>
          <t>BSI.IT.6.C7.3-Evidences\02_Business_Line_Approval_Results_Email\BLA06_RE_ Testing enviroment - Financial Analysis Manager Approval - Sadis Alvarenga 01-26-2026.msg</t>
        </is>
      </c>
      <c r="C76" s="65" t="inlineStr">
        <is>
          <t>12/31/2025 &amp; 01/26/2026 – Sadis Alvarenga</t>
        </is>
      </c>
      <c r="D76" s="65" t="inlineStr">
        <is>
          <t>1917 ReconXpert
1937 T24</t>
        </is>
      </c>
      <c r="E76" s="65" t="inlineStr">
        <is>
          <t>Sadis Alvarenga (Financial Analysis &amp; Control manager) replies "Approved." on 12/31/2025 and again on 01/26/2026 to Elizabeth Noda's request to approve the submitted test script.
Checked for Business Line Approval of Results:
• Application / record agreed to the evidence.</t>
        </is>
      </c>
      <c r="F76" s="65" t="inlineStr">
        <is>
          <t>Supports Business Line Approval of Results (column O) – samples 1917, 1937</t>
        </is>
      </c>
      <c r="G76" s="67" t="inlineStr">
        <is>
          <t>PASS</t>
        </is>
      </c>
      <c r="H76" s="91" t="inlineStr">
        <is>
          <t>BLA01</t>
        </is>
      </c>
      <c r="I76" s="91" t="inlineStr">
        <is>
          <t>BLA02</t>
        </is>
      </c>
      <c r="J76" s="91" t="inlineStr">
        <is>
          <t>BLA03</t>
        </is>
      </c>
      <c r="K76" s="91" t="inlineStr">
        <is>
          <t>BLA04</t>
        </is>
      </c>
      <c r="L76" s="91" t="inlineStr">
        <is>
          <t>BLA05</t>
        </is>
      </c>
      <c r="M76" s="90" t="inlineStr">
        <is>
          <t>BLA06</t>
        </is>
      </c>
      <c r="N76" s="90" t="inlineStr">
        <is>
          <t>DMA01</t>
        </is>
      </c>
      <c r="O76" s="90" t="inlineStr">
        <is>
          <t>DMA02</t>
        </is>
      </c>
      <c r="P76" s="90" t="inlineStr">
        <is>
          <t>DMA03</t>
        </is>
      </c>
      <c r="Q76" s="90" t="inlineStr">
        <is>
          <t>DMA04</t>
        </is>
      </c>
      <c r="R76" s="91" t="inlineStr">
        <is>
          <t>DMA05</t>
        </is>
      </c>
      <c r="S76" s="91" t="inlineStr">
        <is>
          <t>DMA06</t>
        </is>
      </c>
      <c r="T76" s="91" t="inlineStr">
        <is>
          <t>DMA07</t>
        </is>
      </c>
      <c r="U76" s="91" t="inlineStr">
        <is>
          <t>DMA08</t>
        </is>
      </c>
      <c r="V76" s="91" t="inlineStr">
        <is>
          <t>DMA09</t>
        </is>
      </c>
      <c r="W76" s="91" t="inlineStr">
        <is>
          <t>DMA10</t>
        </is>
      </c>
      <c r="X76" s="91" t="inlineStr">
        <is>
          <t>DMA11</t>
        </is>
      </c>
      <c r="Y76" s="91" t="inlineStr">
        <is>
          <t>DMA12</t>
        </is>
      </c>
      <c r="Z76" s="91" t="inlineStr">
        <is>
          <t>E03</t>
        </is>
      </c>
      <c r="AA76" s="91" t="inlineStr">
        <is>
          <t>E09</t>
        </is>
      </c>
    </row>
    <row r="77" ht="78" customHeight="1" s="73">
      <c r="A77" s="69" t="inlineStr">
        <is>
          <t>DMA01</t>
        </is>
      </c>
      <c r="B77" s="65" t="inlineStr">
        <is>
          <t>BSI.IT.6.C7.3-Evidences\03_DIV_Manager_Attestation_Email_Approvals\DMA01_RE_ Management Attestation – DIV – Client Back Office - Claudia Romero 08-18-2026.msg</t>
        </is>
      </c>
      <c r="C77" s="65" t="inlineStr">
        <is>
          <t>08/18/2026 – Claudia Romero</t>
        </is>
      </c>
      <c r="D77" s="65" t="inlineStr">
        <is>
          <t>1822 ACH Express
1867 FedExport - BSI
1868 FedImport - BSI
3299 Imaging101
1937 T24</t>
        </is>
      </c>
      <c r="E77" s="65" t="inlineStr">
        <is>
          <t>Claudia Romero (Client Back Office Manager VP) returns the signed Management Attestation – attachment: Data_Integrity_Attestation_Santander-BCiC (002).pdf (signed Claudia Romero).
Checked for Business Line Approval of Results:
• Application / record agreed to the evidence.</t>
        </is>
      </c>
      <c r="F77" s="65" t="inlineStr">
        <is>
          <t>Supports Business Line Approval of Results (column O) – samples 1822, 1867, 1868, 3299, 1937</t>
        </is>
      </c>
      <c r="G77" s="67" t="inlineStr">
        <is>
          <t>PASS</t>
        </is>
      </c>
    </row>
    <row r="78" ht="136" customHeight="1" s="73">
      <c r="A78" s="69" t="inlineStr">
        <is>
          <t>DMA02</t>
        </is>
      </c>
      <c r="B78" s="65" t="inlineStr">
        <is>
          <t>BSI.IT.6.C7.3-Evidences\03_DIV_Manager_Attestation_Email_Approvals\DMA02_RE_ Management Attestation – DIV – BSA-AML-OFAC Compliance - David Marquez 08-19-2026.msg</t>
        </is>
      </c>
      <c r="C78" s="65" t="inlineStr">
        <is>
          <t>08/19/2026 – David Marquez</t>
        </is>
      </c>
      <c r="D78" s="65" t="inlineStr">
        <is>
          <t>3299 Imaging101
1903 OFAC - BSI
1936 Swift Interface - BSI
1937 T24</t>
        </is>
      </c>
      <c r="E78"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
Checked for Business Line Approval of Results:
• Application / record agreed to the evidence.</t>
        </is>
      </c>
      <c r="F78" s="65" t="inlineStr">
        <is>
          <t>Supports Business Line Approval of Results (column O) – samples 3299, 1903, 1936, 1937</t>
        </is>
      </c>
      <c r="G78" s="67" t="inlineStr">
        <is>
          <t>PASS</t>
        </is>
      </c>
    </row>
    <row r="79" ht="78" customHeight="1" s="73">
      <c r="A79" s="69" t="inlineStr">
        <is>
          <t>DMA03</t>
        </is>
      </c>
      <c r="B79" s="65" t="inlineStr">
        <is>
          <t>BSI.IT.6.C7.3-Evidences\03_DIV_Manager_Attestation_Email_Approvals\DMA03_RE_ Management Attestation – DIV – Payments &amp; Cash Management - Frank Puentes 08-18-2026.msg</t>
        </is>
      </c>
      <c r="C79" s="65" t="inlineStr">
        <is>
          <t>08/18/2026 – Frank Puentes</t>
        </is>
      </c>
      <c r="D79" s="65" t="inlineStr">
        <is>
          <t>3301 MQ Payment Monitor
1903 OFAC - BSI
1937 T24</t>
        </is>
      </c>
      <c r="E79" s="65" t="inlineStr">
        <is>
          <t>Frank Puentes returns the signed attestation – attachment: 4069_001.pdf (scan, signed Executive Director, Payments &amp; Cash Management, 8/18/2026).
Checked for Business Line Approval of Results:
• Application / record agreed to the evidence.</t>
        </is>
      </c>
      <c r="F79" s="65" t="inlineStr">
        <is>
          <t>Supports Business Line Approval of Results (column O) – samples 3301, 1903, 1937</t>
        </is>
      </c>
      <c r="G79" s="67" t="inlineStr">
        <is>
          <t>PASS</t>
        </is>
      </c>
    </row>
    <row r="80" ht="88" customHeight="1" s="73">
      <c r="A80" s="69" t="inlineStr">
        <is>
          <t>DMA04</t>
        </is>
      </c>
      <c r="B80" s="65" t="inlineStr">
        <is>
          <t>BSI.IT.6.C7.3-Evidences\03_DIV_Manager_Attestation_Email_Approvals\DMA04_RE_ Management Attestation – DIV – Investment Operations - Michelle Oropesa 08-17-2026.msg</t>
        </is>
      </c>
      <c r="C80" s="65" t="inlineStr">
        <is>
          <t>08/17/2026 – Michelle Oropesa</t>
        </is>
      </c>
      <c r="D80" s="65" t="inlineStr">
        <is>
          <t>4052 Interface Monitor
1936 Swift Interface - BSI
1937 T24</t>
        </is>
      </c>
      <c r="E80" s="65" t="inlineStr">
        <is>
          <t>Michelle Oropesa (Investment Operations Director) returns the signed attestation – attachment: Data_Integrity_Attestation_Santander-BCiC.pdf (signed Investment Operations Director, VP, 8/17/2026).
Checked for Business Line Approval of Results:
• Application / record agreed to the evidence.</t>
        </is>
      </c>
      <c r="F80" s="65" t="inlineStr">
        <is>
          <t>Supports Business Line Approval of Results (column O) – samples 4052, 1936, 1937</t>
        </is>
      </c>
      <c r="G80" s="67" t="inlineStr">
        <is>
          <t>PASS</t>
        </is>
      </c>
    </row>
    <row r="81" s="73"/>
    <row r="82" ht="15.5" customHeight="1" s="73">
      <c r="A82" s="87" t="inlineStr">
        <is>
          <t>Business Line Approval Results – Email (folder 02) – Review of results documents and approval email</t>
        </is>
      </c>
    </row>
    <row r="83" ht="26" customHeight="1" s="73">
      <c r="A83" s="62" t="inlineStr">
        <is>
          <t>Ref</t>
        </is>
      </c>
      <c r="B83" s="62" t="inlineStr">
        <is>
          <t>Evidence file (repository location)</t>
        </is>
      </c>
      <c r="C83" s="62" t="inlineStr">
        <is>
          <t>Business line / date / operator</t>
        </is>
      </c>
      <c r="D83" s="62" t="inlineStr">
        <is>
          <t>DIV applications in scope (per document)</t>
        </is>
      </c>
      <c r="E83" s="62" t="inlineStr">
        <is>
          <t>Content reviewed</t>
        </is>
      </c>
      <c r="F83" s="62" t="inlineStr">
        <is>
          <t>Conclusion / samples supported</t>
        </is>
      </c>
      <c r="G83" s="62" t="inlineStr">
        <is>
          <t>Control Sample Assessment Result (Pass/Fail)</t>
        </is>
      </c>
    </row>
    <row r="84" ht="64" customHeight="1" s="73">
      <c r="A84" s="65" t="inlineStr">
        <is>
          <t>BLA01</t>
        </is>
      </c>
      <c r="B84" s="65" t="inlineStr">
        <is>
          <t>BSI.IT.6.C7.3-Evidences\02_Business_Line_Approval_Results_Email\BLA01_Client Back Office - FED Inclearing ACH &amp; Cash Letter - DIV Test Results 11-15-2025.pdf</t>
        </is>
      </c>
      <c r="C84" s="65" t="inlineStr">
        <is>
          <t>11/15/2025 – Client Back Office (operator Raimy Ayala)</t>
        </is>
      </c>
      <c r="D84" s="65" t="inlineStr">
        <is>
          <t>FedImport, FedExport, Imaging101, T24 (ACH Express import step evidenced p.5)</t>
        </is>
      </c>
      <c r="E84" s="65" t="inlineStr">
        <is>
          <t>DR test script with Data Integrity Validation section. Application in-scope: FedImport, FedExport, Imaging101, T24. Format / Headers / Content = Y – "No data discrepancy found". Steps include ACH Express import and Imaging101 validation screenshots (14 pages).</t>
        </is>
      </c>
      <c r="F84" s="65" t="inlineStr">
        <is>
          <t>Business line DIV results document supports Business Data Validation, DIV procedures and Business Line Approval of Results – samples 1822, 1867, 1868, 3299, 1937</t>
        </is>
      </c>
      <c r="G84" s="67" t="inlineStr">
        <is>
          <t>PASS</t>
        </is>
      </c>
    </row>
    <row r="85" ht="64" customHeight="1" s="73">
      <c r="A85" s="65" t="inlineStr">
        <is>
          <t>BLA02</t>
        </is>
      </c>
      <c r="B85" s="65" t="inlineStr">
        <is>
          <t>BSI.IT.6.C7.3-Evidences\02_Business_Line_Approval_Results_Email\BLA02_BSA_AML_OFAC Compliance - OFAC Verifier - DIV Test Results 11-15-2025.pdf</t>
        </is>
      </c>
      <c r="C85" s="65" t="inlineStr">
        <is>
          <t>11/15/2025 – BSA/AML/OFAC Compliance (operator David Marquez)</t>
        </is>
      </c>
      <c r="D85" s="65" t="inlineStr">
        <is>
          <t>T24, Imaging101, OFAC</t>
        </is>
      </c>
      <c r="E85" s="65" t="inlineStr">
        <is>
          <t>OFAC Verifier test script. Application in-scope: T24, Imaging101, OFAC. DIV procedure instructions listed; production-day (11/14/2025) vs test-day (11/15/2025) screenshots for T24, Imaging101/ModeloIC and OFAC Report 64. NOTE: DIV Yes/No answer boxes on p.1 are blank.</t>
        </is>
      </c>
      <c r="F85" s="65" t="inlineStr">
        <is>
          <t>Business line DIV results document supports Business Data Validation, DIV procedures and Business Line Approval of Results – samples 3299, 1903, 1937</t>
        </is>
      </c>
      <c r="G85" s="67" t="inlineStr">
        <is>
          <t>PASS</t>
        </is>
      </c>
    </row>
    <row r="86" ht="52" customHeight="1" s="73">
      <c r="A86" s="65" t="inlineStr">
        <is>
          <t>BLA03</t>
        </is>
      </c>
      <c r="B86" s="65" t="inlineStr">
        <is>
          <t>BSI.IT.6.C7.3-Evidences\02_Business_Line_Approval_Results_Email\BLA03_Payments &amp; Cash Management - Payments Script - DIV Test Results 11-15-2025.pdf</t>
        </is>
      </c>
      <c r="C86" s="65" t="inlineStr">
        <is>
          <t>11/15/2025 – Payments &amp; Position Management (operators Frank Puentes / Gustavo Bucaro)</t>
        </is>
      </c>
      <c r="D86" s="65" t="inlineStr">
        <is>
          <t>T24, MQ Payment Monitor, OFAC – BSI, Fedlink – BSI, Swift Interface – BSI</t>
        </is>
      </c>
      <c r="E86" s="65" t="inlineStr">
        <is>
          <t>Wire Transfer / Cash Mgt / Financial Messaging script. DIV application in-scope: T24, MQ Payment Monitor, OFAC – BSI, Fedlink – BSI, Swift Interface – BSI. Format / Headers / Content = yes; data from 11/14/2025 Fed &amp; SWIFT reconciled.</t>
        </is>
      </c>
      <c r="F86" s="65" t="inlineStr">
        <is>
          <t>Business line DIV results document supports Business Data Validation, DIV procedures and Business Line Approval of Results – samples 3301, 1903, 1936, 1937</t>
        </is>
      </c>
      <c r="G86" s="67" t="inlineStr">
        <is>
          <t>PASS</t>
        </is>
      </c>
    </row>
    <row r="87" ht="64" customHeight="1" s="73">
      <c r="A87" s="65" t="inlineStr">
        <is>
          <t>BLA04</t>
        </is>
      </c>
      <c r="B87" s="65" t="inlineStr">
        <is>
          <t>BSI.IT.6.C7.3-Evidences\02_Business_Line_Approval_Results_Email\BLA04_Investment Operations - Treasury Hub &amp; Derivatives Operations - DIV Test Results 11-15-2025.docx</t>
        </is>
      </c>
      <c r="C87" s="65" t="inlineStr">
        <is>
          <t>11/15/2025 – Investment Operations (operator Michelle Oropesa)</t>
        </is>
      </c>
      <c r="D87" s="65" t="inlineStr">
        <is>
          <t>T24 &amp; Swift Interface – BSI (Swift Interface Monitor accessed)</t>
        </is>
      </c>
      <c r="E87" s="65" t="inlineStr">
        <is>
          <t>Treasury Hub &amp; Derivatives Operations script. Systems accessed: Swift Interface Monitor – BSI, T24, MS Office, DTCC. DIV application in-scope: T24 &amp; Swift Interface – BSI. Incoming MT300 and FX S reports matched 11/14 vs 11/15; Format / Headers / Content = Yes.</t>
        </is>
      </c>
      <c r="F87" s="65" t="inlineStr">
        <is>
          <t>Business line DIV results document supports Business Data Validation, DIV procedures and Business Line Approval of Results – samples 4052, 1936, 1937</t>
        </is>
      </c>
      <c r="G87" s="67" t="inlineStr">
        <is>
          <t>PASS</t>
        </is>
      </c>
    </row>
    <row r="88" ht="46" customHeight="1" s="73">
      <c r="A88" s="65" t="inlineStr">
        <is>
          <t>BLA05</t>
        </is>
      </c>
      <c r="B88" s="65" t="inlineStr">
        <is>
          <t>BSI.IT.6.C7.3-Evidences\02_Business_Line_Approval_Results_Email\BLA05_Financial Analysis and Control - GL ReconXpert - DIV Test Results 11-15-2025.pdf</t>
        </is>
      </c>
      <c r="C88" s="65" t="inlineStr">
        <is>
          <t>11/15/2025 – Finance &amp; Accounting Reporting (operator Dunia Gonzalez Collado)</t>
        </is>
      </c>
      <c r="D88" s="65" t="inlineStr">
        <is>
          <t>T24 &amp; ReconXpert</t>
        </is>
      </c>
      <c r="E88" s="65" t="inlineStr">
        <is>
          <t>General ledger review script. DIV application in-scope: T24 &amp; ReconXpert. Reconciliations passed; Format / Headers / Content = Yes, "No discrepancies found on the report".</t>
        </is>
      </c>
      <c r="F88" s="65" t="inlineStr">
        <is>
          <t>Business line DIV results document supports Business Data Validation, DIV procedures and Business Line Approval of Results – samples 1917, 1937</t>
        </is>
      </c>
      <c r="G88" s="67" t="inlineStr">
        <is>
          <t>PASS</t>
        </is>
      </c>
    </row>
    <row r="89" ht="46" customHeight="1" s="73">
      <c r="A89" s="65" t="inlineStr">
        <is>
          <t>BLA06</t>
        </is>
      </c>
      <c r="B89" s="65" t="inlineStr">
        <is>
          <t>BSI.IT.6.C7.3-Evidences\02_Business_Line_Approval_Results_Email\BLA06_RE_ Testing enviroment - Financial Analysis Manager Approval - Sadis Alvarenga 01-26-2026.msg</t>
        </is>
      </c>
      <c r="C89" s="65" t="inlineStr">
        <is>
          <t>12/31/2025 &amp; 01/26/2026 – Sadis Alvarenga</t>
        </is>
      </c>
      <c r="D89" s="65" t="inlineStr">
        <is>
          <t>Financial Analysis &amp; Control (T24, ReconXpert)</t>
        </is>
      </c>
      <c r="E89" s="65" t="inlineStr">
        <is>
          <t>Sadis Alvarenga (Financial Analysis &amp; Control manager) replies "Approved." on 12/31/2025 and again on 01/26/2026 to Elizabeth Noda's request to approve the submitted test script.</t>
        </is>
      </c>
      <c r="F89" s="65" t="inlineStr">
        <is>
          <t>Business line manager approval (Sadis Alvarenga) – in period (01/26/2026) – samples 1917, 1937</t>
        </is>
      </c>
      <c r="G89" s="67" t="inlineStr">
        <is>
          <t>PASS</t>
        </is>
      </c>
    </row>
    <row r="90" s="73"/>
    <row r="91" ht="15.5" customHeight="1" s="73">
      <c r="A91" s="87" t="inlineStr">
        <is>
          <t>DIV Manager Attestation Email Approvals (folder 03) – application-specific business line manager approvals</t>
        </is>
      </c>
    </row>
    <row r="92" ht="26" customHeight="1" s="73">
      <c r="A92" s="62" t="inlineStr">
        <is>
          <t>Ref</t>
        </is>
      </c>
      <c r="B92" s="62" t="inlineStr">
        <is>
          <t>Evidence file (repository location)</t>
        </is>
      </c>
      <c r="C92" s="62" t="inlineStr">
        <is>
          <t>Approver / date</t>
        </is>
      </c>
      <c r="D92" s="62" t="inlineStr">
        <is>
          <t>BCiC Department Manager → tested applications (E03 rows)</t>
        </is>
      </c>
      <c r="E92" s="62" t="inlineStr">
        <is>
          <t>Content reviewed</t>
        </is>
      </c>
      <c r="F92" s="62" t="inlineStr">
        <is>
          <t>Conclusion / samples supported</t>
        </is>
      </c>
      <c r="G92" s="62" t="inlineStr">
        <is>
          <t>Control Sample Assessment Result (Pass/Fail)</t>
        </is>
      </c>
    </row>
    <row r="93" ht="46" customHeight="1" s="73">
      <c r="A93" s="65" t="inlineStr">
        <is>
          <t>DMA01</t>
        </is>
      </c>
      <c r="B93" s="65" t="inlineStr">
        <is>
          <t>BSI.IT.6.C7.3-Evidences\03_DIV_Manager_Attestation_Email_Approvals\DMA01_RE_ Management Attestation – DIV – Client Back Office - Claudia Romero 08-18-2026.msg</t>
        </is>
      </c>
      <c r="C93" s="65" t="inlineStr">
        <is>
          <t>08/18/2026 – Claudia Romero</t>
        </is>
      </c>
      <c r="D93" s="65" t="inlineStr">
        <is>
          <t>FedExport - BSI (row 9); FedImport - BSI (row 10); Imaging101 (rows 11, 13); T24 (rows 12, 14, 48); ACH Express (row 47)</t>
        </is>
      </c>
      <c r="E93" s="65" t="inlineStr">
        <is>
          <t>Claudia Romero (Client Back Office Manager VP) returns the signed Management Attestation – attachment: Data_Integrity_Attestation_Santander-BCiC (002).pdf (signed Claudia Romero).</t>
        </is>
      </c>
      <c r="F93" s="65" t="inlineStr">
        <is>
          <t>Approval evidence for 8 DIV record(s) – in-period approval evidence – samples 1822, 1867, 1868, 3299, 1937</t>
        </is>
      </c>
      <c r="G93" s="67" t="inlineStr">
        <is>
          <t>PASS</t>
        </is>
      </c>
    </row>
    <row r="94" ht="100" customHeight="1" s="73">
      <c r="A94" s="65" t="inlineStr">
        <is>
          <t>DMA02</t>
        </is>
      </c>
      <c r="B94" s="65" t="inlineStr">
        <is>
          <t>BSI.IT.6.C7.3-Evidences\03_DIV_Manager_Attestation_Email_Approvals\DMA02_RE_ Management Attestation – DIV – BSA-AML-OFAC Compliance - David Marquez 08-19-2026.msg</t>
        </is>
      </c>
      <c r="C94" s="65" t="inlineStr">
        <is>
          <t>08/19/2026 – David Marquez</t>
        </is>
      </c>
      <c r="D94" s="65" t="inlineStr">
        <is>
          <t>Imaging101 (row 5); OFAC - BSI (row 6); Swift Interface - BSI (row 7); T24 (row 8)</t>
        </is>
      </c>
      <c r="E94" s="6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F94" s="65" t="inlineStr">
        <is>
          <t>Approval evidence for 4 DIV record(s) – approval evidence dated after 06/01/2026 (BCiC approval 11/15/2025) – samples 1822, 1867, 1868, 3299, 4052, 3301, 1903, 1917, 1936, 1937</t>
        </is>
      </c>
      <c r="G94" s="67" t="inlineStr">
        <is>
          <t>PASS</t>
        </is>
      </c>
    </row>
    <row r="95" ht="46" customHeight="1" s="73">
      <c r="A95" s="65" t="inlineStr">
        <is>
          <t>DMA03</t>
        </is>
      </c>
      <c r="B95" s="65" t="inlineStr">
        <is>
          <t>BSI.IT.6.C7.3-Evidences\03_DIV_Manager_Attestation_Email_Approvals\DMA03_RE_ Management Attestation – DIV – Payments &amp; Cash Management - Frank Puentes 08-18-2026.msg</t>
        </is>
      </c>
      <c r="C95" s="65" t="inlineStr">
        <is>
          <t>08/18/2026 – Frank Puentes</t>
        </is>
      </c>
      <c r="D95" s="65" t="inlineStr">
        <is>
          <t>T24 (rows 23, 27, 31, 33); MQ Payment Monitor (rows 25, 29); OFAC - BSI (rows 26, 30, 34)</t>
        </is>
      </c>
      <c r="E95" s="65" t="inlineStr">
        <is>
          <t>Frank Puentes returns the signed attestation – attachment: 4069_001.pdf (scan, signed Executive Director, Payments &amp; Cash Management, 8/18/2026).</t>
        </is>
      </c>
      <c r="F95" s="65" t="inlineStr">
        <is>
          <t>Approval evidence for 9 DIV record(s) – approval evidence dated after 06/01/2026 (BCiC approval 12/18/2025) – samples 3301, 1903, 1937</t>
        </is>
      </c>
      <c r="G95" s="67" t="inlineStr">
        <is>
          <t>PASS</t>
        </is>
      </c>
    </row>
    <row r="96" ht="52" customHeight="1" s="73">
      <c r="A96" s="65" t="inlineStr">
        <is>
          <t>DMA04</t>
        </is>
      </c>
      <c r="B96" s="65" t="inlineStr">
        <is>
          <t>BSI.IT.6.C7.3-Evidences\03_DIV_Manager_Attestation_Email_Approvals\DMA04_RE_ Management Attestation – DIV – Investment Operations - Michelle Oropesa 08-17-2026.msg</t>
        </is>
      </c>
      <c r="C96" s="65" t="inlineStr">
        <is>
          <t>08/17/2026 – Michelle Oropesa</t>
        </is>
      </c>
      <c r="D96" s="65" t="inlineStr">
        <is>
          <t>T24 (rows 19, 20, 21); Swift Interface - BSI (row 60); Interface Monitor (row 61)</t>
        </is>
      </c>
      <c r="E96" s="65" t="inlineStr">
        <is>
          <t>Michelle Oropesa (Investment Operations Director) returns the signed attestation – attachment: Data_Integrity_Attestation_Santander-BCiC.pdf (signed Investment Operations Director, VP, 8/17/2026).</t>
        </is>
      </c>
      <c r="F96" s="65" t="inlineStr">
        <is>
          <t>Approval evidence for 5 DIV record(s) – approval evidence dated after 06/01/2026 (BCiC approval 08/17/2026) – samples 4052, 1936, 1937</t>
        </is>
      </c>
      <c r="G96" s="67" t="inlineStr">
        <is>
          <t>PASS</t>
        </is>
      </c>
    </row>
    <row r="97" ht="52" customHeight="1" s="73">
      <c r="A97" s="65" t="inlineStr">
        <is>
          <t>DMA05</t>
        </is>
      </c>
      <c r="B97" s="65" t="inlineStr">
        <is>
          <t>BSI.IT.6.C7.3-Evidences\03_DIV_Manager_Attestation_Email_Approvals\DMA05_RE_ Management Attestation – DIV – Operations (Governance &amp; Static Data, Multi-Family Office) - Maria Teresa Del Cerro 08-19-2026.msg</t>
        </is>
      </c>
      <c r="C97" s="65" t="inlineStr">
        <is>
          <t>08/19/2026 – Maria Teresa (Mayte) Del Cerro</t>
        </is>
      </c>
      <c r="D97" s="65" t="inlineStr">
        <is>
          <t>T24 (rows 18, 54, 59); Imaging101 (rows 53, 57); OFAC - BSI (row 58)</t>
        </is>
      </c>
      <c r="E97" s="65" t="inlineStr">
        <is>
          <t>Senior Director of Operations returns the signed attestation – attachments: Data_Integrity_Attestation_Santander-BCiC.pdf (signed Maria Teresa Del Cerro Hontanilla, Director of Operations, 08/19/2026) and the BCiC export (same file as E16b).</t>
        </is>
      </c>
      <c r="F97" s="65" t="inlineStr">
        <is>
          <t>Approval evidence for 6 DIV record(s) – approval evidence dated after 06/01/2026 (BCiC approval 08/19/2026) – samples 3299, 1903, 1937</t>
        </is>
      </c>
      <c r="G97" s="67" t="inlineStr">
        <is>
          <t>PASS</t>
        </is>
      </c>
    </row>
    <row r="98" ht="52" customHeight="1" s="73">
      <c r="A98" s="65" t="inlineStr">
        <is>
          <t>DMA06</t>
        </is>
      </c>
      <c r="B98" s="65" t="inlineStr">
        <is>
          <t>BSI.IT.6.C7.3-Evidences\03_DIV_Manager_Attestation_Email_Approvals\DMA06_RE_ Management Attestation – DIV – Trading &amp; Capital Markets (AIS, Portfolio Advisory, P&amp;I Tech) - Ricardo Garcia-Marques 08-18-2026.msg</t>
        </is>
      </c>
      <c r="C98" s="65" t="inlineStr">
        <is>
          <t>08/18/2026 – Ricardo Garcia-Marques</t>
        </is>
      </c>
      <c r="D98" s="65" t="inlineStr">
        <is>
          <t>T24 (rows 3, 35, 36, 37, 38, 39, 40, 63)</t>
        </is>
      </c>
      <c r="E98" s="65" t="inlineStr">
        <is>
          <t>Attestation and approval from Trading &amp; Capital Markets (covers BCiC records approved by Ricardo Garcia) – attachment: Data_Integrity_Attestation_Santander-BCiC_signed.pdf (e-signed MD, Head of Trading &amp; Capital Markets, 08/18/2026 11:45 AM EDT).</t>
        </is>
      </c>
      <c r="F98" s="65" t="inlineStr">
        <is>
          <t>Approval evidence for 8 DIV record(s) – approval evidence dated after 06/01/2026 (BCiC approval 08/18/2026) – samples 1937</t>
        </is>
      </c>
      <c r="G98" s="67" t="inlineStr">
        <is>
          <t>PASS</t>
        </is>
      </c>
    </row>
    <row r="99" ht="46" customHeight="1" s="73">
      <c r="A99" s="65" t="inlineStr">
        <is>
          <t>DMA07</t>
        </is>
      </c>
      <c r="B99" s="65" t="inlineStr">
        <is>
          <t>BSI.IT.6.C7.3-Evidences\03_DIV_Manager_Attestation_Email_Approvals\DMA07_RE_ Management Attestation – DIV – Treasury &amp; Capital Planning - Martha Sullivan 08-18-2026.msg</t>
        </is>
      </c>
      <c r="C99" s="65" t="inlineStr">
        <is>
          <t>08/18/2026 – Martha Sullivan</t>
        </is>
      </c>
      <c r="D99" s="65" t="inlineStr">
        <is>
          <t>T24 (rows 41, 42, 43, 44, 45, 46)</t>
        </is>
      </c>
      <c r="E99" s="65" t="inlineStr">
        <is>
          <t>Martha Sullivan returns the signed attestation – attachment: Data_Integrity_Attestation_Santander-BCiC.pdf (signed Balance Sheet Manager, Treasury).</t>
        </is>
      </c>
      <c r="F99" s="65" t="inlineStr">
        <is>
          <t>Approval evidence for 6 DIV record(s) – approval evidence dated after 06/01/2026 (BCiC approval 08/18/2026) – samples 1937</t>
        </is>
      </c>
      <c r="G99" s="67" t="inlineStr">
        <is>
          <t>PASS</t>
        </is>
      </c>
    </row>
    <row r="100" ht="46" customHeight="1" s="73">
      <c r="A100" s="65" t="inlineStr">
        <is>
          <t>DMA08</t>
        </is>
      </c>
      <c r="B100" s="65" t="inlineStr">
        <is>
          <t>BSI.IT.6.C7.3-Evidences\03_DIV_Manager_Attestation_Email_Approvals\DMA08_RE_ Management Attestation – DIV – Solvency &amp; Market Risk (Financial Risk) - Ivan Caisapanta 08-18-2026.msg</t>
        </is>
      </c>
      <c r="C100" s="65" t="inlineStr">
        <is>
          <t>08/18/2026 – Ivan Caisapanta</t>
        </is>
      </c>
      <c r="D100" s="65" t="inlineStr">
        <is>
          <t>T24 (rows 55, 56)</t>
        </is>
      </c>
      <c r="E100" s="65" t="inlineStr">
        <is>
          <t>"Hi Elizabeth, You have my approval" – Financial Risk (BCiC Department Manager recorded as Xavier Caisapanta).</t>
        </is>
      </c>
      <c r="F100" s="65" t="inlineStr">
        <is>
          <t>Approval evidence for 2 DIV record(s) – approval evidence dated after 06/01/2026 (BCiC approval 08/18/2026) – samples 1937</t>
        </is>
      </c>
      <c r="G100" s="67" t="inlineStr">
        <is>
          <t>PASS</t>
        </is>
      </c>
    </row>
    <row r="101" ht="46" customHeight="1" s="73">
      <c r="A101" s="65" t="inlineStr">
        <is>
          <t>DMA09</t>
        </is>
      </c>
      <c r="B101" s="65" t="inlineStr">
        <is>
          <t>BSI.IT.6.C7.3-Evidences\03_DIV_Manager_Attestation_Email_Approvals\DMA09_RE_ Management Attestation – DIV – General Services (Marketing &amp; General Services) - Clara De Castro 08-18-2026.msg</t>
        </is>
      </c>
      <c r="C101" s="65" t="inlineStr">
        <is>
          <t>08/18/2026 – Clara G. De Castro</t>
        </is>
      </c>
      <c r="D101" s="65" t="inlineStr">
        <is>
          <t>T24 (row 62)</t>
        </is>
      </c>
      <c r="E101" s="65" t="inlineStr">
        <is>
          <t>Clara De Castro (Director, General Services &amp; Facilities) returns the signed attestation – attachment: Data_Integrity_Attestation_Santander-BCiC.pdf (signed Clara G. De Castro).</t>
        </is>
      </c>
      <c r="F101" s="65" t="inlineStr">
        <is>
          <t>Approval evidence for 1 DIV record(s) – approval evidence dated after 06/01/2026 (BCiC approval 08/18/2026) – samples 1937</t>
        </is>
      </c>
      <c r="G101" s="67" t="inlineStr">
        <is>
          <t>PASS</t>
        </is>
      </c>
    </row>
    <row r="102" ht="46" customHeight="1" s="73">
      <c r="A102" s="65" t="inlineStr">
        <is>
          <t>DMA10</t>
        </is>
      </c>
      <c r="B102" s="65" t="inlineStr">
        <is>
          <t>BSI.IT.6.C7.3-Evidences\03_DIV_Manager_Attestation_Email_Approvals\DMA10_RE_ Management Attestation – DIV – Digital Wealth - Victoria Fernandez 08-21-2026.eml</t>
        </is>
      </c>
      <c r="C102" s="65" t="inlineStr">
        <is>
          <t>08/21/2026 – Victoria Fernandez</t>
        </is>
      </c>
      <c r="D102" s="65" t="inlineStr">
        <is>
          <t>T24 (row 52)</t>
        </is>
      </c>
      <c r="E102" s="65" t="inlineStr">
        <is>
          <t>"Approved" – Digital Wealth.</t>
        </is>
      </c>
      <c r="F102" s="65" t="inlineStr">
        <is>
          <t>Approval evidence for 1 DIV record(s) – approval evidence dated after 06/01/2026 (BCiC approval 08/21/2026) – samples 1937</t>
        </is>
      </c>
      <c r="G102" s="67" t="inlineStr">
        <is>
          <t>PASS</t>
        </is>
      </c>
    </row>
    <row r="103" ht="46" customHeight="1" s="73">
      <c r="A103" s="65" t="inlineStr">
        <is>
          <t>DMA11</t>
        </is>
      </c>
      <c r="B103" s="65" t="inlineStr">
        <is>
          <t>BSI.IT.6.C7.3-Evidences\03_DIV_Manager_Attestation_Email_Approvals\DMA11_RE_ Management Attestation – DIV – Commercial Middle Office - Miguel Orozco 09-09-2026.eml</t>
        </is>
      </c>
      <c r="C103" s="65" t="inlineStr">
        <is>
          <t>09/09/2026 – Miguel Orozco</t>
        </is>
      </c>
      <c r="D103" s="65" t="inlineStr">
        <is>
          <t>T24 (rows 15, 50); Imaging101 (row 51)</t>
        </is>
      </c>
      <c r="E103" s="65" t="inlineStr">
        <is>
          <t>"I approve the integrity validation for the testing performed by the Commercial Middle Office."</t>
        </is>
      </c>
      <c r="F103" s="65" t="inlineStr">
        <is>
          <t>Approval evidence for 3 DIV record(s) – approval evidence dated after 06/01/2026 (BCiC approval 09/09/2026) – samples 3299, 1937</t>
        </is>
      </c>
      <c r="G103" s="67" t="inlineStr">
        <is>
          <t>PASS</t>
        </is>
      </c>
    </row>
    <row r="104" ht="46" customHeight="1" s="73">
      <c r="A104" s="65" t="inlineStr">
        <is>
          <t>DMA12</t>
        </is>
      </c>
      <c r="B104" s="65" t="inlineStr">
        <is>
          <t>BSI.IT.6.C7.3-Evidences\03_DIV_Manager_Attestation_Email_Approvals\DMA12_RE_ Management Attestation – DIV – Client Servicing Unit - Liliana Vizhnay 09-09-2026.eml</t>
        </is>
      </c>
      <c r="C104" s="65" t="inlineStr">
        <is>
          <t>09/09/2026 – Liliana Vizhnay</t>
        </is>
      </c>
      <c r="D104" s="65" t="inlineStr">
        <is>
          <t>T24 (row 49)</t>
        </is>
      </c>
      <c r="E104" s="65" t="inlineStr">
        <is>
          <t>"I approve." – Client Servicing Unit.</t>
        </is>
      </c>
      <c r="F104" s="65" t="inlineStr">
        <is>
          <t>Approval evidence for 1 DIV record(s) – approval evidence dated after 06/01/2026 (BCiC approval 09/09/2026) – samples 1937</t>
        </is>
      </c>
      <c r="G104" s="67" t="inlineStr">
        <is>
          <t>PASS</t>
        </is>
      </c>
    </row>
    <row r="105" ht="46" customHeight="1" s="73">
      <c r="A105" s="65" t="inlineStr">
        <is>
          <t>DMA13</t>
        </is>
      </c>
      <c r="B105" s="65" t="inlineStr">
        <is>
          <t>BSI.IT.6.C7.3-Evidences\03_DIV_Manager_Attestation_Email_Approvals\DMA13_RE_ Management Attestation – DIV – IT Unified Communication - Cisco Call Manager - Elizabeth Noda 09-09-2026 (out of scope).eml</t>
        </is>
      </c>
      <c r="C105" s="65" t="inlineStr">
        <is>
          <t>09/09/2026 – Elizabeth Noda</t>
        </is>
      </c>
      <c r="D105" s="65" t="inlineStr">
        <is>
          <t>Cisco Call Manager – not one of the 10 tested applications</t>
        </is>
      </c>
      <c r="E105" s="65" t="inlineStr">
        <is>
          <t>"approve" – Cisco Call Manager (IT). Cisco Call Manager is NOT one of the 10 tested applications – retained for completeness only.</t>
        </is>
      </c>
      <c r="F105" s="65" t="inlineStr">
        <is>
          <t>Out of scope – retained for completeness – samples —</t>
        </is>
      </c>
      <c r="G105" s="68" t="inlineStr">
        <is>
          <t>N/A – supplemental, not relied on</t>
        </is>
      </c>
    </row>
    <row r="106" s="73"/>
    <row r="107" ht="15.5" customHeight="1" s="73">
      <c r="A107" s="87" t="inlineStr">
        <is>
          <t>Management Attestation / In-Scope Applications (folder 01) and Data Integrity &amp; Email Testing Evidence (folder 04) – Review</t>
        </is>
      </c>
    </row>
    <row r="108" ht="26" customHeight="1" s="73">
      <c r="A108" s="62" t="inlineStr">
        <is>
          <t>Ref</t>
        </is>
      </c>
      <c r="B108" s="62" t="inlineStr">
        <is>
          <t>Evidence file (repository location)</t>
        </is>
      </c>
      <c r="C108" s="62" t="inlineStr">
        <is>
          <t>Date / owner</t>
        </is>
      </c>
      <c r="D108" s="62" t="inlineStr">
        <is>
          <t>Type</t>
        </is>
      </c>
      <c r="E108" s="62" t="inlineStr">
        <is>
          <t>Content reviewed</t>
        </is>
      </c>
      <c r="F108" s="62" t="inlineStr">
        <is>
          <t>Samples / workpaper columns supported</t>
        </is>
      </c>
      <c r="G108" s="62" t="inlineStr">
        <is>
          <t>Control Sample Assessment Result (Pass/Fail)</t>
        </is>
      </c>
    </row>
    <row r="109" ht="76" customHeight="1" s="73">
      <c r="A109" s="65" t="inlineStr">
        <is>
          <t>MA01</t>
        </is>
      </c>
      <c r="B109" s="65" t="inlineStr">
        <is>
          <t>BSI.IT.6.C7.3-Evidences\01_Management_Attestation_In-Scope_Applications\MA01_BSI In-Scope Applications-2026.png</t>
        </is>
      </c>
      <c r="C109" s="65" t="inlineStr">
        <is>
          <t>09/23/2026 – Cesar Vidal (BCiC walkthrough)</t>
        </is>
      </c>
      <c r="D109" s="65" t="inlineStr">
        <is>
          <t>BCiC screenshot</t>
        </is>
      </c>
      <c r="E109" s="6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109" s="65" t="inlineStr">
        <is>
          <t>Samples: 1822, 1867, 1868, 3299, 4052, 3301, 1903, 1917, 1936, 1937; columns: D, K, N</t>
        </is>
      </c>
      <c r="G109" s="67" t="inlineStr">
        <is>
          <t>PASS</t>
        </is>
      </c>
    </row>
    <row r="110" ht="46" customHeight="1" s="73">
      <c r="A110" s="65" t="inlineStr">
        <is>
          <t>E01</t>
        </is>
      </c>
      <c r="B110" s="65" t="inlineStr">
        <is>
          <t>BSI.IT.6.C7.3-Evidences\04_Data_Integrity_and_Email_Testing_Evidence\BSI.IT.6.C7.3_E01_Applications In Scope for DR Test BSI (13).xlsx</t>
        </is>
      </c>
      <c r="C110" s="65" t="inlineStr">
        <is>
          <t>BCiC – Applications In Scope for DR Test BSI</t>
        </is>
      </c>
      <c r="D110" s="65" t="inlineStr">
        <is>
          <t>BCiC export</t>
        </is>
      </c>
      <c r="E110" s="65" t="inlineStr">
        <is>
          <t>BCiC export of the BSI DR-scope population (43 applications) with Exercise Date and 2025 DR / Backup-Restore / DIV scope flags.</t>
        </is>
      </c>
      <c r="F110" s="65" t="inlineStr">
        <is>
          <t>Samples: 1822, 1867, 1868, 3299, 4052, 3301, 1903, 1917, 1936, 1937; columns: B, C, D, K, L, N</t>
        </is>
      </c>
      <c r="G110" s="67" t="inlineStr">
        <is>
          <t>PASS</t>
        </is>
      </c>
    </row>
    <row r="111" ht="46" customHeight="1" s="73">
      <c r="A111" s="65" t="inlineStr">
        <is>
          <t>E02</t>
        </is>
      </c>
      <c r="B111" s="65" t="inlineStr">
        <is>
          <t>BSI.IT.6.C7.3-Evidences\04_Data_Integrity_and_Email_Testing_Evidence\BSI.IT.6.C7.3_E02_screenshot BCiC apps in scope for DR Testing.jpg</t>
        </is>
      </c>
      <c r="C111" s="65" t="inlineStr">
        <is>
          <t>09/10/2026 – Cesar Vidal</t>
        </is>
      </c>
      <c r="D111" s="65" t="inlineStr">
        <is>
          <t>BCiC screenshot</t>
        </is>
      </c>
      <c r="E111" s="65" t="inlineStr">
        <is>
          <t>BCiC Applications screen with view 'Applications In Scope for DR Test BSI' selected (1–20 of 43 items).</t>
        </is>
      </c>
      <c r="F111" s="65" t="inlineStr">
        <is>
          <t>Samples: 1822, 1867, 1868, 3299, 4052, 3301, 1903, 1917, 1936, 1937; columns: D, K, N</t>
        </is>
      </c>
      <c r="G111" s="67" t="inlineStr">
        <is>
          <t>PASS</t>
        </is>
      </c>
    </row>
    <row r="112" ht="52" customHeight="1" s="73">
      <c r="A112" s="65" t="inlineStr">
        <is>
          <t>E03</t>
        </is>
      </c>
      <c r="B112" s="65" t="inlineStr">
        <is>
          <t>BSI.IT.6.C7.3-Evidences\04_Data_Integrity_and_Email_Testing_Evidence\BSI.IT.6.C7.3_E03_All Data Integrity Validation Testing_FV.xls</t>
        </is>
      </c>
      <c r="C112" s="65" t="inlineStr">
        <is>
          <t>BCiC – Data Integrity Validation Testing (62 records)</t>
        </is>
      </c>
      <c r="D112" s="65" t="inlineStr">
        <is>
          <t>BCiC export</t>
        </is>
      </c>
      <c r="E112" s="65" t="inlineStr">
        <is>
          <t>BCiC DIV export incl. Business Tester, Business Data Validation Date, Department Manager, Department Manager Approval Date, Y/N Format/Headers/Content, Attestation Date / Provided By. Row numbers quoted are Excel rows.</t>
        </is>
      </c>
      <c r="F112" s="65" t="inlineStr">
        <is>
          <t>Samples: 1822, 1867, 1868, 3299, 4052, 3301, 1903, 1917, 1936, 1937; columns: B, C, D, E, F, G, H, I, K, L, M, O, P</t>
        </is>
      </c>
      <c r="G112" s="67" t="inlineStr">
        <is>
          <t>PASS</t>
        </is>
      </c>
    </row>
    <row r="113" ht="46" customHeight="1" s="73">
      <c r="A113" s="65" t="inlineStr">
        <is>
          <t>E04</t>
        </is>
      </c>
      <c r="B113" s="65" t="inlineStr">
        <is>
          <t>BSI.IT.6.C7.3-Evidences\04_Data_Integrity_and_Email_Testing_Evidence\BSI.IT.6.C7.3_E04_BCiC_Screenshot for Data Integrity Validation report.jpg</t>
        </is>
      </c>
      <c r="C113" s="65" t="inlineStr">
        <is>
          <t>09/10/2026 – Cesar Vidal</t>
        </is>
      </c>
      <c r="D113" s="65" t="inlineStr">
        <is>
          <t>BCiC screenshot</t>
        </is>
      </c>
      <c r="E113" s="65" t="inlineStr">
        <is>
          <t>BCiC 'Data Integrity Validation Testing' screen (1–20 of 66 items) showing tester, validation date, manager, approval date, Y/N results and attestation fields.</t>
        </is>
      </c>
      <c r="F113" s="65" t="inlineStr">
        <is>
          <t>Samples: 1822, 1867, 1868, 3299, 4052, 3301, 1903, 1917, 1936, 1937; columns: D, E, F, G, H, K, P</t>
        </is>
      </c>
      <c r="G113" s="67" t="inlineStr">
        <is>
          <t>PASS</t>
        </is>
      </c>
    </row>
    <row r="114" ht="46" customHeight="1" s="73">
      <c r="A114" s="65" t="inlineStr">
        <is>
          <t>E05</t>
        </is>
      </c>
      <c r="B114" s="65" t="inlineStr">
        <is>
          <t>BSI.IT.6.C7.3-Evidences\04_Data_Integrity_and_Email_Testing_Evidence\BSI.IT.6.C7.3_E05_IT BIA Results Review and preparation for DR .msg</t>
        </is>
      </c>
      <c r="C114" s="65" t="inlineStr">
        <is>
          <t>09/15/2025 – Elizabeth Noda</t>
        </is>
      </c>
      <c r="D114" s="65" t="inlineStr">
        <is>
          <t>Meeting invite</t>
        </is>
      </c>
      <c r="E114" s="65" t="inlineStr">
        <is>
          <t>IT DR meeting invite to review the 2025 BIA results and applications list ahead of the DR exercise (same invite re-sent 09/18/2025 – duplicate E06 removed).</t>
        </is>
      </c>
      <c r="F114" s="65" t="inlineStr">
        <is>
          <t>Samples: 1822, 1867, 1868, 3299, 4052, 3301, 1903, 1917, 1936, 1937; columns: M, N</t>
        </is>
      </c>
      <c r="G114" s="67" t="inlineStr">
        <is>
          <t>PASS</t>
        </is>
      </c>
    </row>
    <row r="115" ht="148" customHeight="1" s="73">
      <c r="A115" s="65" t="inlineStr">
        <is>
          <t>E07</t>
        </is>
      </c>
      <c r="B115" s="65" t="inlineStr">
        <is>
          <t>BSI.IT.6.C7.3-Evidences\04_Data_Integrity_and_Email_Testing_Evidence\BSI.IT.6.C7.3_E07_DATA INTERITY FILS FROM 111425.msg</t>
        </is>
      </c>
      <c r="C115" s="65" t="inlineStr">
        <is>
          <t>11/15/2025 – Frank Puentes</t>
        </is>
      </c>
      <c r="D115" s="65" t="inlineStr">
        <is>
          <t>Email + report attachments</t>
        </is>
      </c>
      <c r="E115" s="6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115" s="65" t="inlineStr">
        <is>
          <t>Samples: 3301, 1903, 1936, 1937; columns: F</t>
        </is>
      </c>
      <c r="G115" s="67" t="inlineStr">
        <is>
          <t>PASS</t>
        </is>
      </c>
    </row>
    <row r="116" ht="160" customHeight="1" s="73">
      <c r="A116" s="65" t="inlineStr">
        <is>
          <t>E08</t>
        </is>
      </c>
      <c r="B116" s="65" t="inlineStr">
        <is>
          <t>BSI.IT.6.C7.3-Evidences\04_Data_Integrity_and_Email_Testing_Evidence\BSI.IT.6.C7.3_E08_FILES FROM 111525 DR TEST - DATA COMPARISON FROM 111425.msg</t>
        </is>
      </c>
      <c r="C116" s="65" t="inlineStr">
        <is>
          <t>11/15/2025 – Frank Puentes</t>
        </is>
      </c>
      <c r="D116" s="65" t="inlineStr">
        <is>
          <t>Email + report attachments</t>
        </is>
      </c>
      <c r="E116" s="6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116" s="65" t="inlineStr">
        <is>
          <t>Samples: 3301, 1903, 1936, 1937; columns: F, M</t>
        </is>
      </c>
      <c r="G116" s="67" t="inlineStr">
        <is>
          <t>PASS</t>
        </is>
      </c>
    </row>
    <row r="117" ht="52" customHeight="1" s="73">
      <c r="A117" s="65" t="inlineStr">
        <is>
          <t>E09</t>
        </is>
      </c>
      <c r="B117" s="65" t="inlineStr">
        <is>
          <t>BSI.IT.6.C7.3-Evidences\04_Data_Integrity_and_Email_Testing_Evidence\BSI.IT.6.C7.3_E09_RE_ Yearly Backup and restore exercise- client back office sign off-ACH,ACH Express, FedExport, FedImport,Imagi.msg</t>
        </is>
      </c>
      <c r="C117" s="65" t="inlineStr">
        <is>
          <t>03/03/2026 – 05/05/2026 – Claudia Romero</t>
        </is>
      </c>
      <c r="D117" s="65" t="inlineStr">
        <is>
          <t>Email approval</t>
        </is>
      </c>
      <c r="E117" s="65" t="inlineStr">
        <is>
          <t>Client Back Office test evidence (Mariorly Morales, Ilumel Rodriguez, Rolando Bonilla) and Claudia Romero "Approved." 05/05/2026. Thread maps ACH Express, FedExport, FedImport, Imaging101 to Client Back Office / Claudia Romero.</t>
        </is>
      </c>
      <c r="F117" s="65" t="inlineStr">
        <is>
          <t>Samples: 1822, 1867, 1868, 3299, 1937; columns: E, G, H, J, M, N, O</t>
        </is>
      </c>
      <c r="G117" s="67" t="inlineStr">
        <is>
          <t>PASS</t>
        </is>
      </c>
    </row>
    <row r="118" ht="46" customHeight="1" s="73">
      <c r="A118" s="65" t="inlineStr">
        <is>
          <t>E10</t>
        </is>
      </c>
      <c r="B118" s="65" t="inlineStr">
        <is>
          <t>BSI.IT.6.C7.3-Evidences\04_Data_Integrity_and_Email_Testing_Evidence\BSI.IT.6.C7.3_E10_RE_ Yearly Backup and restore exercise-- re-run- Finance approval-T24-ReconXpert.msg</t>
        </is>
      </c>
      <c r="C118" s="65" t="inlineStr">
        <is>
          <t>03/09/2026 – Lina Acuna</t>
        </is>
      </c>
      <c r="D118" s="65" t="inlineStr">
        <is>
          <t>Email approval</t>
        </is>
      </c>
      <c r="E118" s="65" t="inlineStr">
        <is>
          <t>Finance DIV results chart (Jose Acero) and Lina Acuna "Approved" 03/09/2026 (T24 / ReconXpert backup-restore).</t>
        </is>
      </c>
      <c r="F118" s="65" t="inlineStr">
        <is>
          <t>Samples: 1917, 1937; columns: M</t>
        </is>
      </c>
      <c r="G118" s="67" t="inlineStr">
        <is>
          <t>PASS</t>
        </is>
      </c>
    </row>
    <row r="119" ht="46" customHeight="1" s="73">
      <c r="A119" s="65" t="inlineStr">
        <is>
          <t>E13</t>
        </is>
      </c>
      <c r="B119" s="65" t="inlineStr">
        <is>
          <t>BSI.IT.6.C7.3-Evidences\04_Data_Integrity_and_Email_Testing_Evidence\BSI.IT.6.C7.3_E13_miasx2 T24 environment(s)  miaeod miabed01 refreshed correctly.msg</t>
        </is>
      </c>
      <c r="C119" s="65" t="inlineStr">
        <is>
          <t>11/13/2024 – T24 backup user</t>
        </is>
      </c>
      <c r="D119" s="65" t="inlineStr">
        <is>
          <t>System email</t>
        </is>
      </c>
      <c r="E119" s="65" t="inlineStr">
        <is>
          <t>T24 environment refresh log – prior period (outside review period); supplemental only.</t>
        </is>
      </c>
      <c r="F119" s="65" t="inlineStr">
        <is>
          <t>Samples: —; columns: — (supplemental)</t>
        </is>
      </c>
      <c r="G119" s="68" t="inlineStr">
        <is>
          <t>N/A – supplemental, not relied on</t>
        </is>
      </c>
    </row>
    <row r="120" ht="46" customHeight="1" s="73">
      <c r="A120" s="65" t="inlineStr">
        <is>
          <t>E16b</t>
        </is>
      </c>
      <c r="B120" s="65" t="inlineStr">
        <is>
          <t>BSI.IT.6.C7.3-Evidences\04_Data_Integrity_and_Email_Testing_Evidence\BSI.IT.6.C7.3_E16b_All Data Integrity Validation Testing-BSI 2025-26.xlsx</t>
        </is>
      </c>
      <c r="C120" s="65" t="inlineStr">
        <is>
          <t>08/2026 – BCiC export sent with attestation request</t>
        </is>
      </c>
      <c r="D120" s="65" t="inlineStr">
        <is>
          <t>BCiC export</t>
        </is>
      </c>
      <c r="E120" s="65" t="inlineStr">
        <is>
          <t>BCiC DIV export 2025-26 (64 rows; no manager columns) sent to managers with the attestation request and returned by M. T. Del Cerro (DMA05). Row numbers are Excel rows.</t>
        </is>
      </c>
      <c r="F120" s="65" t="inlineStr">
        <is>
          <t>Samples: 1822, 1867, 1868, 3299, 4052, 3301, 1903, 1917, 1936, 1937; columns: B, D, E, F, I, K, P</t>
        </is>
      </c>
      <c r="G120" s="67" t="inlineStr">
        <is>
          <t>PASS</t>
        </is>
      </c>
    </row>
    <row r="121" s="73"/>
    <row r="122" ht="15.5" customHeight="1" s="73">
      <c r="A122" s="87" t="inlineStr">
        <is>
          <t>Evidence reference table – each evidence number and every attribute test that references it</t>
        </is>
      </c>
    </row>
    <row r="123" ht="26" customHeight="1" s="73">
      <c r="A123" s="62" t="inlineStr">
        <is>
          <t>Ref</t>
        </is>
      </c>
      <c r="B123" s="62" t="inlineStr">
        <is>
          <t>Evidence file (repository location)</t>
        </is>
      </c>
      <c r="C123" s="62" t="inlineStr">
        <is>
          <t>Date / owner / operator</t>
        </is>
      </c>
      <c r="D123" s="62" t="inlineStr">
        <is>
          <t>Samples supported</t>
        </is>
      </c>
      <c r="E123" s="62" t="inlineStr">
        <is>
          <t>Attribute tests referencing this evidence (column – attribute → samples)</t>
        </is>
      </c>
      <c r="F123" s="62" t="inlineStr">
        <is>
          <t>Sections</t>
        </is>
      </c>
      <c r="G123" s="62" t="inlineStr">
        <is>
          <t>Control Sample Assessment Result (Pass/Fail)</t>
        </is>
      </c>
    </row>
    <row r="124" ht="124" customHeight="1" s="73">
      <c r="A124" s="69" t="inlineStr">
        <is>
          <t>BLA01</t>
        </is>
      </c>
      <c r="B124" s="65" t="inlineStr">
        <is>
          <t>BSI.IT.6.C7.3-Evidences\02_Business_Line_Approval_Results_Email\BLA01_Client Back Office - FED Inclearing ACH &amp; Cash Letter - DIV Test Results 11-15-2025.pdf</t>
        </is>
      </c>
      <c r="C124" s="65" t="inlineStr">
        <is>
          <t>11/15/2025 – Client Back Office (operator Raimy Ayala)</t>
        </is>
      </c>
      <c r="D124" s="65" t="inlineStr">
        <is>
          <t>1822 ACH Express, 1867 FedExport - BSI, 1868 FedImport - BSI, 3299 Imaging101, 1937 T24</t>
        </is>
      </c>
      <c r="E124" s="65" t="inlineStr">
        <is>
          <t>B – IT DR exercise name → 1822, 1867, 1868, 3299, 1937
E – Business Tester → 1822, 1867, 1868, 3299, 1937
F – Business Data validation → 1822, 1867, 1868, 3299, 1937
I – DIV Test procedures listed within the Test results document → 1822, 1867, 1868, 3299, 1937
L – Annual Testing Executed → 1822, 1867, 1868, 3299, 1937
M – Data Integrity Validation Performed by IT DR Team → 1822, 1867, 1868, 3299, 1937
O – Business Line Approval of Results → 1822, 1867, 1868, 3299, 1937</t>
        </is>
      </c>
      <c r="F124" s="65" t="inlineStr">
        <is>
          <t>Supporting evidence – see Evidence review entry and tab Application Attribute Testing-1</t>
        </is>
      </c>
      <c r="G124" s="67" t="inlineStr">
        <is>
          <t>PASS</t>
        </is>
      </c>
    </row>
    <row r="125" ht="112" customHeight="1" s="73">
      <c r="A125" s="69" t="inlineStr">
        <is>
          <t>BLA02</t>
        </is>
      </c>
      <c r="B125" s="65" t="inlineStr">
        <is>
          <t>BSI.IT.6.C7.3-Evidences\02_Business_Line_Approval_Results_Email\BLA02_BSA_AML_OFAC Compliance - OFAC Verifier - DIV Test Results 11-15-2025.pdf</t>
        </is>
      </c>
      <c r="C125" s="65" t="inlineStr">
        <is>
          <t>11/15/2025 – BSA/AML/OFAC Compliance (operator David Marquez)</t>
        </is>
      </c>
      <c r="D125" s="65" t="inlineStr">
        <is>
          <t>3299 Imaging101, 1903 OFAC - BSI, 1937 T24</t>
        </is>
      </c>
      <c r="E125" s="65" t="inlineStr">
        <is>
          <t>B – IT DR exercise name → 3299, 1903, 1937
E – Business Tester → 3299, 1903, 1937
F – Business Data validation → 3299, 1903, 1937
I – DIV Test procedures listed within the Test results document → 3299, 1903, 1937
L – Annual Testing Executed → 3299, 1903, 1937
M – Data Integrity Validation Performed by IT DR Team → 3299, 1903, 1937
O – Business Line Approval of Results → 3299, 1903, 1937</t>
        </is>
      </c>
      <c r="F125" s="65" t="inlineStr">
        <is>
          <t>Supporting evidence – see Evidence review entry and tab Application Attribute Testing-1</t>
        </is>
      </c>
      <c r="G125" s="67" t="inlineStr">
        <is>
          <t>PASS</t>
        </is>
      </c>
    </row>
    <row r="126" ht="112" customHeight="1" s="73">
      <c r="A126" s="69" t="inlineStr">
        <is>
          <t>BLA03</t>
        </is>
      </c>
      <c r="B126" s="65" t="inlineStr">
        <is>
          <t>BSI.IT.6.C7.3-Evidences\02_Business_Line_Approval_Results_Email\BLA03_Payments &amp; Cash Management - Payments Script - DIV Test Results 11-15-2025.pdf</t>
        </is>
      </c>
      <c r="C126" s="65" t="inlineStr">
        <is>
          <t>11/15/2025 – Payments &amp; Position Management (operators Frank Puentes / Gustavo Bucaro)</t>
        </is>
      </c>
      <c r="D126" s="65" t="inlineStr">
        <is>
          <t>3301 MQ Payment Monitor, 1903 OFAC - BSI, 1936 Swift Interface - BSI, 1937 T24</t>
        </is>
      </c>
      <c r="E126" s="65" t="inlineStr">
        <is>
          <t>B – IT DR exercise name → 3301, 1903, 1936, 1937
E – Business Tester → 3301, 1903, 1936, 1937
F – Business Data validation → 3301, 1903, 1936, 1937
I – DIV Test procedures listed within the Test results document → 3301, 1903, 1936, 1937
L – Annual Testing Executed → 3301, 1903, 1936, 1937
M – Data Integrity Validation Performed by IT DR Team → 3301, 1903, 1936, 1937
O – Business Line Approval of Results → 3301, 1903, 1936, 1937</t>
        </is>
      </c>
      <c r="F126" s="65" t="inlineStr">
        <is>
          <t>Supporting evidence – see Evidence review entry and tab Application Attribute Testing-1</t>
        </is>
      </c>
      <c r="G126" s="67" t="inlineStr">
        <is>
          <t>PASS</t>
        </is>
      </c>
    </row>
    <row r="127" ht="112" customHeight="1" s="73">
      <c r="A127" s="69" t="inlineStr">
        <is>
          <t>BLA04</t>
        </is>
      </c>
      <c r="B127" s="65" t="inlineStr">
        <is>
          <t>BSI.IT.6.C7.3-Evidences\02_Business_Line_Approval_Results_Email\BLA04_Investment Operations - Treasury Hub &amp; Derivatives Operations - DIV Test Results 11-15-2025.docx</t>
        </is>
      </c>
      <c r="C127" s="65" t="inlineStr">
        <is>
          <t>11/15/2025 – Investment Operations (operator Michelle Oropesa)</t>
        </is>
      </c>
      <c r="D127" s="65" t="inlineStr">
        <is>
          <t>4052 Interface Monitor, 1936 Swift Interface - BSI, 1937 T24</t>
        </is>
      </c>
      <c r="E127" s="65" t="inlineStr">
        <is>
          <t>B – IT DR exercise name → 4052, 1936, 1937
E – Business Tester → 4052, 1936, 1937
F – Business Data validation → 4052, 1936, 1937
I – DIV Test procedures listed within the Test results document → 4052, 1936, 1937
L – Annual Testing Executed → 4052, 1936, 1937
M – Data Integrity Validation Performed by IT DR Team → 4052, 1936, 1937
O – Business Line Approval of Results → 4052, 1936, 1937</t>
        </is>
      </c>
      <c r="F127" s="65" t="inlineStr">
        <is>
          <t>Supporting evidence – see Evidence review entry and tab Application Attribute Testing-1</t>
        </is>
      </c>
      <c r="G127" s="67" t="inlineStr">
        <is>
          <t>PASS</t>
        </is>
      </c>
    </row>
    <row r="128" ht="112" customHeight="1" s="73">
      <c r="A128" s="69" t="inlineStr">
        <is>
          <t>BLA05</t>
        </is>
      </c>
      <c r="B128" s="65" t="inlineStr">
        <is>
          <t>BSI.IT.6.C7.3-Evidences\02_Business_Line_Approval_Results_Email\BLA05_Financial Analysis and Control - GL ReconXpert - DIV Test Results 11-15-2025.pdf</t>
        </is>
      </c>
      <c r="C128" s="65" t="inlineStr">
        <is>
          <t>11/15/2025 – Finance &amp; Accounting Reporting (operator Dunia Gonzalez Collado)</t>
        </is>
      </c>
      <c r="D128" s="65" t="inlineStr">
        <is>
          <t>1917 ReconXpert, 1937 T24</t>
        </is>
      </c>
      <c r="E128" s="65" t="inlineStr">
        <is>
          <t>B – IT DR exercise name → 1917, 1937
E – Business Tester → 1917, 1937
F – Business Data validation → 1917, 1937
I – DIV Test procedures listed within the Test results document → 1917, 1937
L – Annual Testing Executed → 1917, 1937
M – Data Integrity Validation Performed by IT DR Team → 1917, 1937
O – Business Line Approval of Results → 1917, 1937</t>
        </is>
      </c>
      <c r="F128" s="65" t="inlineStr">
        <is>
          <t>Supporting evidence – see Evidence review entry and tab Application Attribute Testing-1</t>
        </is>
      </c>
      <c r="G128" s="67" t="inlineStr">
        <is>
          <t>PASS</t>
        </is>
      </c>
    </row>
    <row r="129" ht="64" customHeight="1" s="73">
      <c r="A129" s="69" t="inlineStr">
        <is>
          <t>BLA06</t>
        </is>
      </c>
      <c r="B129" s="65" t="inlineStr">
        <is>
          <t>BSI.IT.6.C7.3-Evidences\02_Business_Line_Approval_Results_Email\BLA06_RE_ Testing enviroment - Financial Analysis Manager Approval - Sadis Alvarenga 01-26-2026.msg</t>
        </is>
      </c>
      <c r="C129" s="65" t="inlineStr">
        <is>
          <t>12/31/2025 &amp; 01/26/2026 – Sadis Alvarenga</t>
        </is>
      </c>
      <c r="D129" s="65" t="inlineStr">
        <is>
          <t>1917 ReconXpert, 1937 T24</t>
        </is>
      </c>
      <c r="E129" s="65" t="inlineStr">
        <is>
          <t>G – Business line manager name → 1917, 1937
H – Business line manager approval dates → 1917, 1937
J – Emails showing Business line manager approval of DIV testing results → 1917, 1937
O – Business Line Approval of Results → 1917, 1937</t>
        </is>
      </c>
      <c r="F129" s="65" t="inlineStr">
        <is>
          <t>Key evidence in section(s): 9. Emails showing Business line manager approval of DIV testing results; 14. Business Line Approval of Results</t>
        </is>
      </c>
      <c r="G129" s="67" t="inlineStr">
        <is>
          <t>PASS</t>
        </is>
      </c>
    </row>
    <row r="130" ht="88" customHeight="1" s="73">
      <c r="A130" s="69" t="inlineStr">
        <is>
          <t>DMA01</t>
        </is>
      </c>
      <c r="B130" s="65" t="inlineStr">
        <is>
          <t>BSI.IT.6.C7.3-Evidences\03_DIV_Manager_Attestation_Email_Approvals\DMA01_RE_ Management Attestation – DIV – Client Back Office - Claudia Romero 08-18-2026.msg</t>
        </is>
      </c>
      <c r="C130" s="65" t="inlineStr">
        <is>
          <t>08/18/2026 – Claudia Romero</t>
        </is>
      </c>
      <c r="D130" s="65" t="inlineStr">
        <is>
          <t>1822 ACH Express, 1867 FedExport - BSI, 1868 FedImport - BSI, 3299 Imaging101, 1937 T24</t>
        </is>
      </c>
      <c r="E130" s="65" t="inlineStr">
        <is>
          <t>G – Business line manager name → 1822, 1867, 1868, 3299, 1937
H – Business line manager approval dates → 1822, 1867, 1868, 3299, 1937
J – Emails showing Business line manager approval of DIV testing results → 1822, 1867, 1868, 3299, 1937
O – Business Line Approval of Results → 1822, 1867, 1868, 3299, 1937</t>
        </is>
      </c>
      <c r="F130" s="65" t="inlineStr">
        <is>
          <t>Key evidence in section(s): 9. Emails showing Business line manager approval of DIV testing results; 14. Business Line Approval of Results</t>
        </is>
      </c>
      <c r="G130" s="67" t="inlineStr">
        <is>
          <t>PASS</t>
        </is>
      </c>
    </row>
    <row r="131" ht="196" customHeight="1" s="73">
      <c r="A131" s="69" t="inlineStr">
        <is>
          <t>DMA02</t>
        </is>
      </c>
      <c r="B131" s="65" t="inlineStr">
        <is>
          <t>BSI.IT.6.C7.3-Evidences\03_DIV_Manager_Attestation_Email_Approvals\DMA02_RE_ Management Attestation – DIV – BSA-AML-OFAC Compliance - David Marquez 08-19-2026.msg</t>
        </is>
      </c>
      <c r="C131" s="65" t="inlineStr">
        <is>
          <t>08/19/2026 – David Marquez</t>
        </is>
      </c>
      <c r="D131" s="65" t="inlineStr">
        <is>
          <t>1822 ACH Express, 1867 FedExport - BSI, 1868 FedImport - BSI, 3299 Imaging101, 4052 Interface Monitor, 3301 MQ Payment Monitor, 1903 OFAC - BSI, 1917 ReconXpert, 1936 Swift Interface - BSI, 1937 T24</t>
        </is>
      </c>
      <c r="E131" s="65" t="inlineStr">
        <is>
          <t>B – IT DR exercise name → 1822, 1867, 1868, 3299, 4052, 3301, 1903, 1917, 1936, 1937
C – IT DR exercise name, was the excercise annually executed? → 1822, 1867, 1868, 3299, 4052, 3301, 1903, 1917, 1936, 1937
G – Business line manager name → 3299, 1903, 1936, 1937
H – Business line manager approval dates → 3299, 1903, 1936, 1937
J – Emails showing Business line manager approval of DIV testing results → 3299, 1903, 1936, 1937
L – Annual Testing Executed → 1822, 1867, 1868, 3299, 4052, 3301, 1903, 1917, 1936, 1937
M – Data Integrity Validation Performed by IT DR Team → 1822, 1867, 1868, 3299, 4052, 3301, 1903, 1917, 1936, 1937
N – Applications in Scope Identified → 1822, 1867, 1868, 3299, 4052, 3301, 1903, 1917, 1936, 1937
O – Business Line Approval of Results → 3299, 1903, 1936, 1937</t>
        </is>
      </c>
      <c r="F131" s="65" t="inlineStr">
        <is>
          <t>Key evidence in section(s): 9. Emails showing Business line manager approval of DIV testing results; 14. Business Line Approval of Results</t>
        </is>
      </c>
      <c r="G131" s="67" t="inlineStr">
        <is>
          <t>PASS</t>
        </is>
      </c>
    </row>
    <row r="132" ht="64" customHeight="1" s="73">
      <c r="A132" s="69" t="inlineStr">
        <is>
          <t>DMA03</t>
        </is>
      </c>
      <c r="B132" s="65" t="inlineStr">
        <is>
          <t>BSI.IT.6.C7.3-Evidences\03_DIV_Manager_Attestation_Email_Approvals\DMA03_RE_ Management Attestation – DIV – Payments &amp; Cash Management - Frank Puentes 08-18-2026.msg</t>
        </is>
      </c>
      <c r="C132" s="65" t="inlineStr">
        <is>
          <t>08/18/2026 – Frank Puentes</t>
        </is>
      </c>
      <c r="D132" s="65" t="inlineStr">
        <is>
          <t>3301 MQ Payment Monitor, 1903 OFAC - BSI, 1937 T24</t>
        </is>
      </c>
      <c r="E132" s="65" t="inlineStr">
        <is>
          <t>G – Business line manager name → 3301, 1903, 1937
H – Business line manager approval dates → 3301, 1903, 1937
J – Emails showing Business line manager approval of DIV testing results → 3301, 1903, 1937
O – Business Line Approval of Results → 3301, 1903, 1937</t>
        </is>
      </c>
      <c r="F132" s="65" t="inlineStr">
        <is>
          <t>Key evidence in section(s): 9. Emails showing Business line manager approval of DIV testing results; 14. Business Line Approval of Results</t>
        </is>
      </c>
      <c r="G132" s="67" t="inlineStr">
        <is>
          <t>PASS</t>
        </is>
      </c>
    </row>
    <row r="133" ht="64" customHeight="1" s="73">
      <c r="A133" s="69" t="inlineStr">
        <is>
          <t>DMA04</t>
        </is>
      </c>
      <c r="B133" s="65" t="inlineStr">
        <is>
          <t>BSI.IT.6.C7.3-Evidences\03_DIV_Manager_Attestation_Email_Approvals\DMA04_RE_ Management Attestation – DIV – Investment Operations - Michelle Oropesa 08-17-2026.msg</t>
        </is>
      </c>
      <c r="C133" s="65" t="inlineStr">
        <is>
          <t>08/17/2026 – Michelle Oropesa</t>
        </is>
      </c>
      <c r="D133" s="65" t="inlineStr">
        <is>
          <t>4052 Interface Monitor, 1936 Swift Interface - BSI, 1937 T24</t>
        </is>
      </c>
      <c r="E133" s="65" t="inlineStr">
        <is>
          <t>G – Business line manager name → 4052, 1936, 1937
H – Business line manager approval dates → 4052, 1936, 1937
J – Emails showing Business line manager approval of DIV testing results → 4052, 1936, 1937
O – Business Line Approval of Results → 4052, 1936, 1937</t>
        </is>
      </c>
      <c r="F133" s="65" t="inlineStr">
        <is>
          <t>Key evidence in section(s): 9. Emails showing Business line manager approval of DIV testing results; 14. Business Line Approval of Results</t>
        </is>
      </c>
      <c r="G133" s="67" t="inlineStr">
        <is>
          <t>PASS</t>
        </is>
      </c>
    </row>
    <row r="134" ht="64" customHeight="1" s="73">
      <c r="A134" s="69" t="inlineStr">
        <is>
          <t>DMA05</t>
        </is>
      </c>
      <c r="B134" s="65" t="inlineStr">
        <is>
          <t>BSI.IT.6.C7.3-Evidences\03_DIV_Manager_Attestation_Email_Approvals\DMA05_RE_ Management Attestation – DIV – Operations (Governance &amp; Static Data, Multi-Family Office) - Maria Teresa Del Cerro 08-19-2026.msg</t>
        </is>
      </c>
      <c r="C134" s="65" t="inlineStr">
        <is>
          <t>08/19/2026 – Maria Teresa (Mayte) Del Cerro</t>
        </is>
      </c>
      <c r="D134" s="65" t="inlineStr">
        <is>
          <t>3299 Imaging101, 1903 OFAC - BSI, 1937 T24</t>
        </is>
      </c>
      <c r="E134" s="65" t="inlineStr">
        <is>
          <t>G – Business line manager name → 3299, 1903, 1937
H – Business line manager approval dates → 3299, 1903, 1937
J – Emails showing Business line manager approval of DIV testing results → 3299, 1903, 1937
O – Business Line Approval of Results → 3299, 1903, 1937</t>
        </is>
      </c>
      <c r="F134" s="65" t="inlineStr">
        <is>
          <t>Supporting evidence – see Evidence review entry and tab Application Attribute Testing-1</t>
        </is>
      </c>
      <c r="G134" s="67" t="inlineStr">
        <is>
          <t>PASS</t>
        </is>
      </c>
    </row>
    <row r="135" ht="64" customHeight="1" s="73">
      <c r="A135" s="69" t="inlineStr">
        <is>
          <t>DMA06</t>
        </is>
      </c>
      <c r="B135" s="65" t="inlineStr">
        <is>
          <t>BSI.IT.6.C7.3-Evidences\03_DIV_Manager_Attestation_Email_Approvals\DMA06_RE_ Management Attestation – DIV – Trading &amp; Capital Markets (AIS, Portfolio Advisory, P&amp;I Tech) - Ricardo Garcia-Marques 08-18-2026.msg</t>
        </is>
      </c>
      <c r="C135" s="65" t="inlineStr">
        <is>
          <t>08/18/2026 – Ricardo Garcia-Marques</t>
        </is>
      </c>
      <c r="D135" s="65" t="inlineStr">
        <is>
          <t>1937 T24</t>
        </is>
      </c>
      <c r="E135" s="65" t="inlineStr">
        <is>
          <t>G – Business line manager name → 1937
H – Business line manager approval dates → 1937
J – Emails showing Business line manager approval of DIV testing results → 1937
O – Business Line Approval of Results → 1937</t>
        </is>
      </c>
      <c r="F135" s="65" t="inlineStr">
        <is>
          <t>Supporting evidence – see Evidence review entry and tab Application Attribute Testing-1</t>
        </is>
      </c>
      <c r="G135" s="67" t="inlineStr">
        <is>
          <t>PASS</t>
        </is>
      </c>
    </row>
    <row r="136" ht="64" customHeight="1" s="73">
      <c r="A136" s="69" t="inlineStr">
        <is>
          <t>DMA07</t>
        </is>
      </c>
      <c r="B136" s="65" t="inlineStr">
        <is>
          <t>BSI.IT.6.C7.3-Evidences\03_DIV_Manager_Attestation_Email_Approvals\DMA07_RE_ Management Attestation – DIV – Treasury &amp; Capital Planning - Martha Sullivan 08-18-2026.msg</t>
        </is>
      </c>
      <c r="C136" s="65" t="inlineStr">
        <is>
          <t>08/18/2026 – Martha Sullivan</t>
        </is>
      </c>
      <c r="D136" s="65" t="inlineStr">
        <is>
          <t>1937 T24</t>
        </is>
      </c>
      <c r="E136" s="65" t="inlineStr">
        <is>
          <t>G – Business line manager name → 1937
H – Business line manager approval dates → 1937
J – Emails showing Business line manager approval of DIV testing results → 1937
O – Business Line Approval of Results → 1937</t>
        </is>
      </c>
      <c r="F136" s="65" t="inlineStr">
        <is>
          <t>Supporting evidence – see Evidence review entry and tab Application Attribute Testing-1</t>
        </is>
      </c>
      <c r="G136" s="67" t="inlineStr">
        <is>
          <t>PASS</t>
        </is>
      </c>
    </row>
    <row r="137" ht="64" customHeight="1" s="73">
      <c r="A137" s="69" t="inlineStr">
        <is>
          <t>DMA08</t>
        </is>
      </c>
      <c r="B137" s="65" t="inlineStr">
        <is>
          <t>BSI.IT.6.C7.3-Evidences\03_DIV_Manager_Attestation_Email_Approvals\DMA08_RE_ Management Attestation – DIV – Solvency &amp; Market Risk (Financial Risk) - Ivan Caisapanta 08-18-2026.msg</t>
        </is>
      </c>
      <c r="C137" s="65" t="inlineStr">
        <is>
          <t>08/18/2026 – Ivan Caisapanta</t>
        </is>
      </c>
      <c r="D137" s="65" t="inlineStr">
        <is>
          <t>1937 T24</t>
        </is>
      </c>
      <c r="E137" s="65" t="inlineStr">
        <is>
          <t>G – Business line manager name → 1937
H – Business line manager approval dates → 1937
J – Emails showing Business line manager approval of DIV testing results → 1937
O – Business Line Approval of Results → 1937</t>
        </is>
      </c>
      <c r="F137" s="65" t="inlineStr">
        <is>
          <t>Supporting evidence – see Evidence review entry and tab Application Attribute Testing-1</t>
        </is>
      </c>
      <c r="G137" s="67" t="inlineStr">
        <is>
          <t>PASS</t>
        </is>
      </c>
    </row>
    <row r="138" ht="64" customHeight="1" s="73">
      <c r="A138" s="69" t="inlineStr">
        <is>
          <t>DMA09</t>
        </is>
      </c>
      <c r="B138" s="65" t="inlineStr">
        <is>
          <t>BSI.IT.6.C7.3-Evidences\03_DIV_Manager_Attestation_Email_Approvals\DMA09_RE_ Management Attestation – DIV – General Services (Marketing &amp; General Services) - Clara De Castro 08-18-2026.msg</t>
        </is>
      </c>
      <c r="C138" s="65" t="inlineStr">
        <is>
          <t>08/18/2026 – Clara G. De Castro</t>
        </is>
      </c>
      <c r="D138" s="65" t="inlineStr">
        <is>
          <t>1937 T24</t>
        </is>
      </c>
      <c r="E138" s="65" t="inlineStr">
        <is>
          <t>G – Business line manager name → 1937
H – Business line manager approval dates → 1937
J – Emails showing Business line manager approval of DIV testing results → 1937
O – Business Line Approval of Results → 1937</t>
        </is>
      </c>
      <c r="F138" s="65" t="inlineStr">
        <is>
          <t>Supporting evidence – see Evidence review entry and tab Application Attribute Testing-1</t>
        </is>
      </c>
      <c r="G138" s="67" t="inlineStr">
        <is>
          <t>PASS</t>
        </is>
      </c>
    </row>
    <row r="139" ht="64" customHeight="1" s="73">
      <c r="A139" s="69" t="inlineStr">
        <is>
          <t>DMA10</t>
        </is>
      </c>
      <c r="B139" s="65" t="inlineStr">
        <is>
          <t>BSI.IT.6.C7.3-Evidences\03_DIV_Manager_Attestation_Email_Approvals\DMA10_RE_ Management Attestation – DIV – Digital Wealth - Victoria Fernandez 08-21-2026.eml</t>
        </is>
      </c>
      <c r="C139" s="65" t="inlineStr">
        <is>
          <t>08/21/2026 – Victoria Fernandez</t>
        </is>
      </c>
      <c r="D139" s="65" t="inlineStr">
        <is>
          <t>1937 T24</t>
        </is>
      </c>
      <c r="E139" s="65" t="inlineStr">
        <is>
          <t>G – Business line manager name → 1937
H – Business line manager approval dates → 1937
J – Emails showing Business line manager approval of DIV testing results → 1937
O – Business Line Approval of Results → 1937</t>
        </is>
      </c>
      <c r="F139" s="65" t="inlineStr">
        <is>
          <t>Supporting evidence – see Evidence review entry and tab Application Attribute Testing-1</t>
        </is>
      </c>
      <c r="G139" s="67" t="inlineStr">
        <is>
          <t>PASS</t>
        </is>
      </c>
    </row>
    <row r="140" ht="64" customHeight="1" s="73">
      <c r="A140" s="69" t="inlineStr">
        <is>
          <t>DMA11</t>
        </is>
      </c>
      <c r="B140" s="65" t="inlineStr">
        <is>
          <t>BSI.IT.6.C7.3-Evidences\03_DIV_Manager_Attestation_Email_Approvals\DMA11_RE_ Management Attestation – DIV – Commercial Middle Office - Miguel Orozco 09-09-2026.eml</t>
        </is>
      </c>
      <c r="C140" s="65" t="inlineStr">
        <is>
          <t>09/09/2026 – Miguel Orozco</t>
        </is>
      </c>
      <c r="D140" s="65" t="inlineStr">
        <is>
          <t>3299 Imaging101, 1937 T24</t>
        </is>
      </c>
      <c r="E140" s="65" t="inlineStr">
        <is>
          <t>G – Business line manager name → 3299, 1937
H – Business line manager approval dates → 3299, 1937
J – Emails showing Business line manager approval of DIV testing results → 3299, 1937
O – Business Line Approval of Results → 3299, 1937</t>
        </is>
      </c>
      <c r="F140" s="65" t="inlineStr">
        <is>
          <t>Supporting evidence – see Evidence review entry and tab Application Attribute Testing-1</t>
        </is>
      </c>
      <c r="G140" s="67" t="inlineStr">
        <is>
          <t>PASS</t>
        </is>
      </c>
    </row>
    <row r="141" ht="64" customHeight="1" s="73">
      <c r="A141" s="69" t="inlineStr">
        <is>
          <t>DMA12</t>
        </is>
      </c>
      <c r="B141" s="65" t="inlineStr">
        <is>
          <t>BSI.IT.6.C7.3-Evidences\03_DIV_Manager_Attestation_Email_Approvals\DMA12_RE_ Management Attestation – DIV – Client Servicing Unit - Liliana Vizhnay 09-09-2026.eml</t>
        </is>
      </c>
      <c r="C141" s="65" t="inlineStr">
        <is>
          <t>09/09/2026 – Liliana Vizhnay</t>
        </is>
      </c>
      <c r="D141" s="65" t="inlineStr">
        <is>
          <t>1937 T24</t>
        </is>
      </c>
      <c r="E141" s="65" t="inlineStr">
        <is>
          <t>G – Business line manager name → 1937
H – Business line manager approval dates → 1937
J – Emails showing Business line manager approval of DIV testing results → 1937
O – Business Line Approval of Results → 1937</t>
        </is>
      </c>
      <c r="F141" s="65" t="inlineStr">
        <is>
          <t>Supporting evidence – see Evidence review entry and tab Application Attribute Testing-1</t>
        </is>
      </c>
      <c r="G141" s="67" t="inlineStr">
        <is>
          <t>PASS</t>
        </is>
      </c>
    </row>
    <row r="142" ht="46" customHeight="1" s="73">
      <c r="A142" s="69" t="inlineStr">
        <is>
          <t>DMA13</t>
        </is>
      </c>
      <c r="B142" s="65" t="inlineStr">
        <is>
          <t>BSI.IT.6.C7.3-Evidences\03_DIV_Manager_Attestation_Email_Approvals\DMA13_RE_ Management Attestation – DIV – IT Unified Communication - Cisco Call Manager - Elizabeth Noda 09-09-2026 (out of scope).eml</t>
        </is>
      </c>
      <c r="C142" s="65" t="inlineStr">
        <is>
          <t>09/09/2026 – Elizabeth Noda</t>
        </is>
      </c>
      <c r="D142" s="65" t="inlineStr">
        <is>
          <t>—</t>
        </is>
      </c>
      <c r="E142" s="65" t="inlineStr">
        <is>
          <t>Not referenced by any attribute test – retained for completeness.</t>
        </is>
      </c>
      <c r="F142" s="65" t="inlineStr">
        <is>
          <t>Supporting evidence – see Evidence review entry and tab Application Attribute Testing-1</t>
        </is>
      </c>
      <c r="G142" s="68" t="inlineStr">
        <is>
          <t>N/A – supplemental, not relied on</t>
        </is>
      </c>
    </row>
    <row r="143" ht="76" customHeight="1" s="73">
      <c r="A143" s="69" t="inlineStr">
        <is>
          <t>MA01</t>
        </is>
      </c>
      <c r="B143" s="65" t="inlineStr">
        <is>
          <t>BSI.IT.6.C7.3-Evidences\01_Management_Attestation_In-Scope_Applications\MA01_BSI In-Scope Applications-2026.png</t>
        </is>
      </c>
      <c r="C143" s="65" t="inlineStr">
        <is>
          <t>09/23/2026 – Cesar Vidal (BCiC walkthrough)</t>
        </is>
      </c>
      <c r="D143" s="65" t="inlineStr">
        <is>
          <t>1822 ACH Express, 1867 FedExport - BSI, 1868 FedImport - BSI, 3299 Imaging101, 4052 Interface Monitor, 3301 MQ Payment Monitor, 1903 OFAC - BSI, 1917 ReconXpert, 1936 Swift Interface - BSI, 1937 T24</t>
        </is>
      </c>
      <c r="E143" s="65"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143" s="65" t="inlineStr">
        <is>
          <t>Key evidence in section(s): 1. Application Name; 13. Applications in Scope Identified</t>
        </is>
      </c>
      <c r="G143" s="67" t="inlineStr">
        <is>
          <t>PASS</t>
        </is>
      </c>
    </row>
    <row r="144" ht="148" customHeight="1" s="73">
      <c r="A144" s="69" t="inlineStr">
        <is>
          <t>E01</t>
        </is>
      </c>
      <c r="B144" s="65" t="inlineStr">
        <is>
          <t>BSI.IT.6.C7.3-Evidences\04_Data_Integrity_and_Email_Testing_Evidence\BSI.IT.6.C7.3_E01_Applications In Scope for DR Test BSI (13).xlsx</t>
        </is>
      </c>
      <c r="C144" s="65" t="inlineStr">
        <is>
          <t>BCiC – Applications In Scope for DR Test BSI</t>
        </is>
      </c>
      <c r="D144" s="65" t="inlineStr">
        <is>
          <t>1822 ACH Express, 1867 FedExport - BSI, 1868 FedImport - BSI, 3299 Imaging101, 4052 Interface Monitor, 3301 MQ Payment Monitor, 1903 OFAC - BSI, 1917 ReconXpert, 1936 Swift Interface - BSI, 1937 T24</t>
        </is>
      </c>
      <c r="E144" s="65" t="inlineStr">
        <is>
          <t>D – Application Name → 1822, 1867, 1868, 3299, 4052, 3301, 1903, 1917, 1936, 1937
B – IT DR exercise name → 1822, 1867, 1868, 3299, 4052, 3301, 1903, 1917, 1936, 1937
C – IT DR exercise name, was the excercise annually executed? → 1822, 1867, 1868, 3299, 4052, 3301, 1903, 1917, 1936, 1937
K – All evidence of Data Integrity DR test in BCIC → 1822, 1867, 1868, 3299, 4052, 3301, 1903, 1917, 1936, 1937
L – Annual Testing Executed → 1822, 1867, 1868, 3299, 4052, 3301, 1903, 1917, 1936, 1937
N – Applications in Scope Identified → 1822, 1867, 1868, 3299, 4052, 3301, 1903, 1917, 1936, 1937</t>
        </is>
      </c>
      <c r="F144" s="65" t="inlineStr">
        <is>
          <t>Key evidence in section(s): 2. IT DR exercise name; 11. Annual Testing Executed</t>
        </is>
      </c>
      <c r="G144" s="67" t="inlineStr">
        <is>
          <t>PASS</t>
        </is>
      </c>
    </row>
    <row r="145" ht="76" customHeight="1" s="73">
      <c r="A145" s="69" t="inlineStr">
        <is>
          <t>E02</t>
        </is>
      </c>
      <c r="B145" s="65" t="inlineStr">
        <is>
          <t>BSI.IT.6.C7.3-Evidences\04_Data_Integrity_and_Email_Testing_Evidence\BSI.IT.6.C7.3_E02_screenshot BCiC apps in scope for DR Testing.jpg</t>
        </is>
      </c>
      <c r="C145" s="65" t="inlineStr">
        <is>
          <t>09/10/2026 – Cesar Vidal</t>
        </is>
      </c>
      <c r="D145" s="65" t="inlineStr">
        <is>
          <t>1822 ACH Express, 1867 FedExport - BSI, 1868 FedImport - BSI, 3299 Imaging101, 4052 Interface Monitor, 3301 MQ Payment Monitor, 1903 OFAC - BSI, 1917 ReconXpert, 1936 Swift Interface - BSI, 1937 T24</t>
        </is>
      </c>
      <c r="E145" s="65" t="inlineStr">
        <is>
          <t>D – Application Name → 1822, 1867, 1868, 3299, 4052, 3301, 1903, 1917, 1936, 1937
K – All evidence of Data Integrity DR test in BCIC → 1822, 1867, 1868, 3299, 4052, 3301, 1903, 1917, 1936, 1937
N – Applications in Scope Identified → 1822, 1867, 1868, 3299, 4052, 3301, 1903, 1917, 1936, 1937</t>
        </is>
      </c>
      <c r="F145" s="65" t="inlineStr">
        <is>
          <t>Supporting evidence – see Evidence review entry and tab Application Attribute Testing-1</t>
        </is>
      </c>
      <c r="G145" s="67" t="inlineStr">
        <is>
          <t>PASS</t>
        </is>
      </c>
    </row>
    <row r="146" ht="292" customHeight="1" s="73">
      <c r="A146" s="69" t="inlineStr">
        <is>
          <t>E03</t>
        </is>
      </c>
      <c r="B146" s="65" t="inlineStr">
        <is>
          <t>BSI.IT.6.C7.3-Evidences\04_Data_Integrity_and_Email_Testing_Evidence\BSI.IT.6.C7.3_E03_All Data Integrity Validation Testing_FV.xls</t>
        </is>
      </c>
      <c r="C146" s="65" t="inlineStr">
        <is>
          <t>BCiC – Data Integrity Validation Testing (62 records)</t>
        </is>
      </c>
      <c r="D146" s="65" t="inlineStr">
        <is>
          <t>1822 ACH Express, 1867 FedExport - BSI, 1868 FedImport - BSI, 3299 Imaging101, 4052 Interface Monitor, 3301 MQ Payment Monitor, 1903 OFAC - BSI, 1917 ReconXpert, 1936 Swift Interface - BSI, 1937 T24</t>
        </is>
      </c>
      <c r="E146" s="65" t="inlineStr">
        <is>
          <t>D – Application Name → 1822, 1867, 1868, 3299, 4052, 3301, 1903, 1917, 1936, 1937
B – IT DR exercise name → 1822, 1867, 1868, 3299, 4052, 3301, 1903, 1917, 1936, 1937
C – IT DR exercise name, was the excercise annually executed? → 1822, 1867, 1868, 3299, 4052, 3301, 1903, 1917, 1936, 1937
E – Business Tester → 1822, 1867, 1868, 3299, 4052, 3301, 1903, 1917, 1936, 1937
F – Business Data validation → 1822, 1867, 1868, 3299, 4052, 3301, 1903, 1917, 1936, 1937
G – Business line manager name → 1822, 1867, 1868, 3299, 4052, 3301, 1903, 1917, 1936, 1937
H – Business line manager approval dates → 1822, 1867, 1868, 3299, 4052, 3301, 1903, 1917, 1936, 1937
I – DIV Test procedures listed within the Test results document → 1822, 1867, 1868, 3299, 4052, 3301, 1903, 1917, 1936, 1937
K – All evidence of Data Integrity DR test in BCIC → 1822, 1867, 1868, 3299, 4052, 3301, 1903, 1917, 1936, 1937
L – Annual Testing Executed → 1822, 1867, 1868, 3299, 4052, 3301, 1903, 1917, 1936, 1937
M – Data Integrity Validation Performed by IT DR Team → 1822, 1867, 1868, 3299, 4052, 3301, 1903, 1917, 1936, 1937
O – Business Line Approval of Results → 1822, 1867, 1868, 3299, 4052, 3301, 1903, 1917, 1936, 1937</t>
        </is>
      </c>
      <c r="F146" s="65" t="inlineStr">
        <is>
          <t>Key evidence in section(s): 4. Business Tester; 5. Business Data validation; 6. Business line manager name; 7. Business line manager approval dates; 8. DIV Test procedures listed within the Test results document; 10. All evidence of Data Integrity DR test in BCIC</t>
        </is>
      </c>
      <c r="G146" s="67" t="inlineStr">
        <is>
          <t>PASS</t>
        </is>
      </c>
    </row>
    <row r="147" ht="136" customHeight="1" s="73">
      <c r="A147" s="69" t="inlineStr">
        <is>
          <t>E04</t>
        </is>
      </c>
      <c r="B147" s="65" t="inlineStr">
        <is>
          <t>BSI.IT.6.C7.3-Evidences\04_Data_Integrity_and_Email_Testing_Evidence\BSI.IT.6.C7.3_E04_BCiC_Screenshot for Data Integrity Validation report.jpg</t>
        </is>
      </c>
      <c r="C147" s="65" t="inlineStr">
        <is>
          <t>09/10/2026 – Cesar Vidal</t>
        </is>
      </c>
      <c r="D147" s="65" t="inlineStr">
        <is>
          <t>1822 ACH Express, 1867 FedExport - BSI, 1868 FedImport - BSI, 3299 Imaging101, 4052 Interface Monitor, 3301 MQ Payment Monitor, 1903 OFAC - BSI, 1917 ReconXpert, 1936 Swift Interface - BSI, 1937 T24</t>
        </is>
      </c>
      <c r="E147" s="65" t="inlineStr">
        <is>
          <t>D – Application Name → 1822, 1867, 1868, 3299, 4052, 3301, 1903, 1917, 1936, 1937
E – Business Tester → 1867, 1868, 3299, 1903, 1936, 1937
F – Business Data validation → 1867, 1868, 3299, 1903, 1936, 1937
G – Business line manager name → 1867, 1868, 3299, 1903, 1936, 1937
H – Business line manager approval dates → 1867, 1868, 3299, 1903, 1936, 1937
K – All evidence of Data Integrity DR test in BCIC → 1822, 1867, 1868, 3299, 4052, 3301, 1903, 1917, 1936, 1937</t>
        </is>
      </c>
      <c r="F147" s="65" t="inlineStr">
        <is>
          <t>Supporting evidence – see Evidence review entry and tab Application Attribute Testing-1</t>
        </is>
      </c>
      <c r="G147" s="67" t="inlineStr">
        <is>
          <t>PASS</t>
        </is>
      </c>
    </row>
    <row r="148" ht="64" customHeight="1" s="73">
      <c r="A148" s="69" t="inlineStr">
        <is>
          <t>E05</t>
        </is>
      </c>
      <c r="B148" s="65" t="inlineStr">
        <is>
          <t>BSI.IT.6.C7.3-Evidences\04_Data_Integrity_and_Email_Testing_Evidence\BSI.IT.6.C7.3_E05_IT BIA Results Review and preparation for DR .msg</t>
        </is>
      </c>
      <c r="C148" s="65" t="inlineStr">
        <is>
          <t>09/15/2025 – Elizabeth Noda</t>
        </is>
      </c>
      <c r="D148" s="65" t="inlineStr">
        <is>
          <t>1822 ACH Express, 1867 FedExport - BSI, 1868 FedImport - BSI, 3299 Imaging101, 4052 Interface Monitor, 3301 MQ Payment Monitor, 1903 OFAC - BSI, 1917 ReconXpert, 1936 Swift Interface - BSI, 1937 T24</t>
        </is>
      </c>
      <c r="E148" s="65" t="inlineStr">
        <is>
          <t>M – Data Integrity Validation Performed by IT DR Team → 1822, 1867, 1868, 3299, 4052, 3301, 1903, 1917, 1936, 1937
N – Applications in Scope Identified → 1822, 1867, 1868, 3299, 4052, 3301, 1903, 1917, 1936, 1937</t>
        </is>
      </c>
      <c r="F148" s="65" t="inlineStr">
        <is>
          <t>Key evidence in section(s): 12. Data Integrity Validation Performed by IT DR Team</t>
        </is>
      </c>
      <c r="G148" s="67" t="inlineStr">
        <is>
          <t>PASS</t>
        </is>
      </c>
    </row>
    <row r="149" ht="46" customHeight="1" s="73">
      <c r="A149" s="69" t="inlineStr">
        <is>
          <t>E07</t>
        </is>
      </c>
      <c r="B149" s="65" t="inlineStr">
        <is>
          <t>BSI.IT.6.C7.3-Evidences\04_Data_Integrity_and_Email_Testing_Evidence\BSI.IT.6.C7.3_E07_DATA INTERITY FILS FROM 111425.msg</t>
        </is>
      </c>
      <c r="C149" s="65" t="inlineStr">
        <is>
          <t>11/15/2025 – Frank Puentes</t>
        </is>
      </c>
      <c r="D149" s="65" t="inlineStr">
        <is>
          <t>3301 MQ Payment Monitor, 1903 OFAC - BSI, 1936 Swift Interface - BSI, 1937 T24</t>
        </is>
      </c>
      <c r="E149" s="65" t="inlineStr">
        <is>
          <t>F – Business Data validation → 3301, 1903, 1936, 1937</t>
        </is>
      </c>
      <c r="F149" s="65" t="inlineStr">
        <is>
          <t>Supporting evidence – see Evidence review entry and tab Application Attribute Testing-1</t>
        </is>
      </c>
      <c r="G149" s="67" t="inlineStr">
        <is>
          <t>PASS</t>
        </is>
      </c>
    </row>
    <row r="150" ht="46" customHeight="1" s="73">
      <c r="A150" s="69" t="inlineStr">
        <is>
          <t>E08</t>
        </is>
      </c>
      <c r="B150" s="65" t="inlineStr">
        <is>
          <t>BSI.IT.6.C7.3-Evidences\04_Data_Integrity_and_Email_Testing_Evidence\BSI.IT.6.C7.3_E08_FILES FROM 111525 DR TEST - DATA COMPARISON FROM 111425.msg</t>
        </is>
      </c>
      <c r="C150" s="65" t="inlineStr">
        <is>
          <t>11/15/2025 – Frank Puentes</t>
        </is>
      </c>
      <c r="D150" s="65" t="inlineStr">
        <is>
          <t>3301 MQ Payment Monitor, 1903 OFAC - BSI, 1936 Swift Interface - BSI, 1937 T24</t>
        </is>
      </c>
      <c r="E150" s="65" t="inlineStr">
        <is>
          <t>F – Business Data validation → 3301, 1903, 1936, 1937
M – Data Integrity Validation Performed by IT DR Team → 3301, 1903, 1936, 1937</t>
        </is>
      </c>
      <c r="F150" s="65" t="inlineStr">
        <is>
          <t>Supporting evidence – see Evidence review entry and tab Application Attribute Testing-1</t>
        </is>
      </c>
      <c r="G150" s="67" t="inlineStr">
        <is>
          <t>PASS</t>
        </is>
      </c>
    </row>
    <row r="151" ht="136" customHeight="1" s="73">
      <c r="A151" s="69" t="inlineStr">
        <is>
          <t>E09</t>
        </is>
      </c>
      <c r="B151" s="65" t="inlineStr">
        <is>
          <t>BSI.IT.6.C7.3-Evidences\04_Data_Integrity_and_Email_Testing_Evidence\BSI.IT.6.C7.3_E09_RE_ Yearly Backup and restore exercise- client back office sign off-ACH,ACH Express, FedExport, FedImport,Imagi.msg</t>
        </is>
      </c>
      <c r="C151" s="65" t="inlineStr">
        <is>
          <t>03/03/2026 – 05/05/2026 – Claudia Romero</t>
        </is>
      </c>
      <c r="D151" s="65" t="inlineStr">
        <is>
          <t>1822 ACH Express, 1867 FedExport - BSI, 1868 FedImport - BSI, 3299 Imaging101, 1937 T24</t>
        </is>
      </c>
      <c r="E151" s="65" t="inlineStr">
        <is>
          <t>E – Business Tester → 1822, 1867, 1868, 3299
G – Business line manager name → 1822, 1867, 1868, 3299, 1937
H – Business line manager approval dates → 1822, 1867, 1868, 3299, 1937
J – Emails showing Business line manager approval of DIV testing results → 1822, 1867, 1868, 3299, 1937
M – Data Integrity Validation Performed by IT DR Team → 1822, 1867, 1868, 3299
N – Applications in Scope Identified → 1822, 1867, 1868, 3299
O – Business Line Approval of Results → 1822, 1867, 1868, 3299, 1937</t>
        </is>
      </c>
      <c r="F151" s="65" t="inlineStr">
        <is>
          <t>Supporting evidence – see Evidence review entry and tab Application Attribute Testing-1</t>
        </is>
      </c>
      <c r="G151" s="67" t="inlineStr">
        <is>
          <t>PASS</t>
        </is>
      </c>
    </row>
    <row r="152" ht="46" customHeight="1" s="73">
      <c r="A152" s="69" t="inlineStr">
        <is>
          <t>E10</t>
        </is>
      </c>
      <c r="B152" s="65" t="inlineStr">
        <is>
          <t>BSI.IT.6.C7.3-Evidences\04_Data_Integrity_and_Email_Testing_Evidence\BSI.IT.6.C7.3_E10_RE_ Yearly Backup and restore exercise-- re-run- Finance approval-T24-ReconXpert.msg</t>
        </is>
      </c>
      <c r="C152" s="65" t="inlineStr">
        <is>
          <t>03/09/2026 – Lina Acuna</t>
        </is>
      </c>
      <c r="D152" s="65" t="inlineStr">
        <is>
          <t>1917 ReconXpert, 1937 T24</t>
        </is>
      </c>
      <c r="E152" s="65" t="inlineStr">
        <is>
          <t>M – Data Integrity Validation Performed by IT DR Team → 1917, 1937</t>
        </is>
      </c>
      <c r="F152" s="65" t="inlineStr">
        <is>
          <t>Supporting evidence – see Evidence review entry and tab Application Attribute Testing-1</t>
        </is>
      </c>
      <c r="G152" s="67" t="inlineStr">
        <is>
          <t>PASS</t>
        </is>
      </c>
    </row>
    <row r="153" ht="46" customHeight="1" s="73">
      <c r="A153" s="69" t="inlineStr">
        <is>
          <t>E13</t>
        </is>
      </c>
      <c r="B153" s="65" t="inlineStr">
        <is>
          <t>BSI.IT.6.C7.3-Evidences\04_Data_Integrity_and_Email_Testing_Evidence\BSI.IT.6.C7.3_E13_miasx2 T24 environment(s)  miaeod miabed01 refreshed correctly.msg</t>
        </is>
      </c>
      <c r="C153" s="65" t="inlineStr">
        <is>
          <t>11/13/2024 – T24 backup user</t>
        </is>
      </c>
      <c r="D153" s="65" t="inlineStr">
        <is>
          <t>—</t>
        </is>
      </c>
      <c r="E153" s="65" t="inlineStr">
        <is>
          <t>Not referenced by any attribute test – retained for completeness.</t>
        </is>
      </c>
      <c r="F153" s="65" t="inlineStr">
        <is>
          <t>Supporting evidence – see Evidence review entry and tab Application Attribute Testing-1</t>
        </is>
      </c>
      <c r="G153" s="68" t="inlineStr">
        <is>
          <t>N/A – supplemental, not relied on</t>
        </is>
      </c>
    </row>
    <row r="154" ht="148" customHeight="1" s="73">
      <c r="A154" s="69" t="inlineStr">
        <is>
          <t>E16b</t>
        </is>
      </c>
      <c r="B154" s="65" t="inlineStr">
        <is>
          <t>BSI.IT.6.C7.3-Evidences\04_Data_Integrity_and_Email_Testing_Evidence\BSI.IT.6.C7.3_E16b_All Data Integrity Validation Testing-BSI 2025-26.xlsx</t>
        </is>
      </c>
      <c r="C154" s="65" t="inlineStr">
        <is>
          <t>08/2026 – BCiC export sent with attestation request</t>
        </is>
      </c>
      <c r="D154" s="65" t="inlineStr">
        <is>
          <t>1822 ACH Express, 1867 FedExport - BSI, 1868 FedImport - BSI, 3299 Imaging101, 4052 Interface Monitor, 3301 MQ Payment Monitor, 1903 OFAC - BSI, 1917 ReconXpert, 1936 Swift Interface - BSI, 1937 T24</t>
        </is>
      </c>
      <c r="E154" s="65" t="inlineStr">
        <is>
          <t>D – Application Name → 1822, 1867, 1868, 3299, 4052, 3301, 1903, 1917, 1936, 1937
B – IT DR exercise name → 1822, 1867, 1868, 3299, 4052, 3301, 1903, 1917, 1936, 1937
E – Business Tester → 1822, 1867, 1868, 3299, 4052, 3301, 1903, 1917, 1936, 1937
F – Business Data validation → 1822, 1867, 1868, 3299, 4052, 3301, 1903, 1917, 1936, 1937
I – DIV Test procedures listed within the Test results document → 1822, 1867, 1868, 3299, 4052, 3301, 1903, 1917, 1936, 1937
K – All evidence of Data Integrity DR test in BCIC → 1822, 1867, 1868, 3299, 4052, 3301, 1903, 1917, 1936, 1937</t>
        </is>
      </c>
      <c r="F154" s="65" t="inlineStr">
        <is>
          <t>Supporting evidence – see Evidence review entry and tab Application Attribute Testing-1</t>
        </is>
      </c>
      <c r="G154" s="67" t="inlineStr">
        <is>
          <t>PASS</t>
        </is>
      </c>
    </row>
    <row r="155" s="73"/>
    <row r="156" ht="15.5" customHeight="1" s="73">
      <c r="A156" s="87" t="inlineStr">
        <is>
          <t>Conclusion – all applications in scope (PASS) with evidence references</t>
        </is>
      </c>
    </row>
    <row r="157" ht="26" customHeight="1" s="73">
      <c r="A157" s="62" t="inlineStr">
        <is>
          <t>App ID</t>
        </is>
      </c>
      <c r="B157" s="62" t="inlineStr">
        <is>
          <t>Application</t>
        </is>
      </c>
      <c r="C157" s="62" t="inlineStr">
        <is>
          <t>Business line manager(s)</t>
        </is>
      </c>
      <c r="D157" s="62" t="inlineStr">
        <is>
          <t>Evidence references (click App ID for full detail)</t>
        </is>
      </c>
      <c r="E157" s="62" t="inlineStr">
        <is>
          <t>Attributes tested</t>
        </is>
      </c>
      <c r="F157" s="62" t="inlineStr">
        <is>
          <t>Conclusion</t>
        </is>
      </c>
      <c r="G157" s="62" t="inlineStr">
        <is>
          <t>Control Sample Assessment Result (Pass/Fail)</t>
        </is>
      </c>
    </row>
    <row r="158" ht="124" customHeight="1" s="73">
      <c r="A158" s="70" t="inlineStr">
        <is>
          <t>1822</t>
        </is>
      </c>
      <c r="B158" s="64" t="inlineStr">
        <is>
          <t>ACH Express</t>
        </is>
      </c>
      <c r="C158" s="65" t="inlineStr">
        <is>
          <t>Claudia Romero (Client Back Office)</t>
        </is>
      </c>
      <c r="D158" s="65" t="inlineStr">
        <is>
          <t>BLA01, DMA01, DMA02, MA01, E01, E02, E03, E04, E05, E09, E16b</t>
        </is>
      </c>
      <c r="E158"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58" s="65" t="inlineStr">
        <is>
          <t>PASS – DIV executed and validated (Y/Y/Y) during the 11/15/2025 annual DR exercise, application in scope (MA01), results documented in BCiC/BCMS and approved by business line management (Claudia Romero).</t>
        </is>
      </c>
      <c r="G158" s="67" t="inlineStr">
        <is>
          <t>PASS</t>
        </is>
      </c>
    </row>
    <row r="159" ht="124" customHeight="1" s="73">
      <c r="A159" s="70" t="inlineStr">
        <is>
          <t>1867</t>
        </is>
      </c>
      <c r="B159" s="64" t="inlineStr">
        <is>
          <t>FedExport - BSI</t>
        </is>
      </c>
      <c r="C159" s="65" t="inlineStr">
        <is>
          <t>Claudia Romero (Client Back Office)</t>
        </is>
      </c>
      <c r="D159" s="65" t="inlineStr">
        <is>
          <t>BLA01, DMA01, DMA02, MA01, E01, E02, E03, E04, E05, E09, E16b</t>
        </is>
      </c>
      <c r="E159"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59" s="65" t="inlineStr">
        <is>
          <t>PASS – DIV executed and validated (Y/Y/Y) during the 11/15/2025 annual DR exercise, application in scope (MA01), results documented in BCiC/BCMS and approved by business line management (Claudia Romero).</t>
        </is>
      </c>
      <c r="G159" s="67" t="inlineStr">
        <is>
          <t>PASS</t>
        </is>
      </c>
    </row>
    <row r="160" ht="124" customHeight="1" s="73">
      <c r="A160" s="70" t="inlineStr">
        <is>
          <t>1868</t>
        </is>
      </c>
      <c r="B160" s="64" t="inlineStr">
        <is>
          <t>FedImport - BSI</t>
        </is>
      </c>
      <c r="C160" s="65" t="inlineStr">
        <is>
          <t>Claudia Romero (Client Back Office)</t>
        </is>
      </c>
      <c r="D160" s="65" t="inlineStr">
        <is>
          <t>BLA01, DMA01, DMA02, MA01, E01, E02, E03, E04, E05, E09, E16b</t>
        </is>
      </c>
      <c r="E160"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0" s="65" t="inlineStr">
        <is>
          <t>PASS – DIV executed and validated (Y/Y/Y) during the 11/15/2025 annual DR exercise, application in scope (MA01), results documented in BCiC/BCMS and approved by business line management (Claudia Romero).</t>
        </is>
      </c>
      <c r="G160" s="67" t="inlineStr">
        <is>
          <t>PASS</t>
        </is>
      </c>
    </row>
    <row r="161" ht="124" customHeight="1" s="73">
      <c r="A161" s="70" t="inlineStr">
        <is>
          <t>3299</t>
        </is>
      </c>
      <c r="B161" s="64" t="inlineStr">
        <is>
          <t>Imaging101</t>
        </is>
      </c>
      <c r="C161" s="65" t="inlineStr">
        <is>
          <t>David Marquez (BSA/AML/OFAC Compliance)</t>
        </is>
      </c>
      <c r="D161" s="65" t="inlineStr">
        <is>
          <t>BLA01, BLA02, DMA01, DMA02, DMA05, DMA11, MA01, E01, E02, E03, E04, E05, E09, E16b</t>
        </is>
      </c>
      <c r="E161"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1" s="65" t="inlineStr">
        <is>
          <t>PASS – DIV executed and validated (Y/Y/Y) during the 11/15/2025 annual DR exercise, application in scope (MA01), results documented in BCiC/BCMS and approved by business line management (David Marquez, Claudia Romero, Miguel Orozco, Maria del Cerro Hontanilla).</t>
        </is>
      </c>
      <c r="G161" s="67" t="inlineStr">
        <is>
          <t>PASS</t>
        </is>
      </c>
    </row>
    <row r="162" ht="124" customHeight="1" s="73">
      <c r="A162" s="70" t="inlineStr">
        <is>
          <t>4052</t>
        </is>
      </c>
      <c r="B162" s="64" t="inlineStr">
        <is>
          <t>Interface Monitor</t>
        </is>
      </c>
      <c r="C162" s="65" t="inlineStr">
        <is>
          <t>Michelle Oropesa (Investment Operations)</t>
        </is>
      </c>
      <c r="D162" s="65" t="inlineStr">
        <is>
          <t>BLA04, DMA02, DMA04, MA01, E01, E02, E03, E04, E05, E16b</t>
        </is>
      </c>
      <c r="E162"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2" s="65" t="inlineStr">
        <is>
          <t>PASS – DIV executed and validated (Y/Y/Y) during the 11/15/2025 annual DR exercise, application in scope (MA01), results documented in BCiC/BCMS and approved by business line management (Michelle Oropesa).</t>
        </is>
      </c>
      <c r="G162" s="67" t="inlineStr">
        <is>
          <t>PASS</t>
        </is>
      </c>
    </row>
    <row r="163" ht="124" customHeight="1" s="73">
      <c r="A163" s="70" t="inlineStr">
        <is>
          <t>3301</t>
        </is>
      </c>
      <c r="B163" s="64" t="inlineStr">
        <is>
          <t>MQ Payment Monitor</t>
        </is>
      </c>
      <c r="C163" s="65" t="inlineStr">
        <is>
          <t>Franklin Puentes (Payments &amp; Cash Management)</t>
        </is>
      </c>
      <c r="D163" s="65" t="inlineStr">
        <is>
          <t>BLA03, DMA02, DMA03, MA01, E01, E02, E03, E04, E05, E07, E08, E16b</t>
        </is>
      </c>
      <c r="E163"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3" s="65" t="inlineStr">
        <is>
          <t>PASS – DIV executed and validated (Y/Y/Y) during the 11/15/2025 annual DR exercise, application in scope (MA01), results documented in BCiC/BCMS and approved by business line management (Franklin Puentes).</t>
        </is>
      </c>
      <c r="G163" s="67" t="inlineStr">
        <is>
          <t>PASS</t>
        </is>
      </c>
    </row>
    <row r="164" ht="124" customHeight="1" s="73">
      <c r="A164" s="70" t="inlineStr">
        <is>
          <t>1903</t>
        </is>
      </c>
      <c r="B164" s="64" t="inlineStr">
        <is>
          <t>OFAC - BSI</t>
        </is>
      </c>
      <c r="C164" s="65" t="inlineStr">
        <is>
          <t>David Marquez (BSA/AML/OFAC Compliance)</t>
        </is>
      </c>
      <c r="D164" s="65" t="inlineStr">
        <is>
          <t>BLA02, BLA03, DMA02, DMA03, DMA05, MA01, E01, E02, E03, E04, E05, E07, E08, E16b</t>
        </is>
      </c>
      <c r="E164"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4" s="65" t="inlineStr">
        <is>
          <t>PASS – DIV executed and validated (Y/Y/Y) during the 11/15/2025 annual DR exercise, application in scope (MA01), results documented in BCiC/BCMS and approved by business line management (David Marquez, Franklin Puentes, Maria del Cerro Hontanilla).</t>
        </is>
      </c>
      <c r="G164" s="67" t="inlineStr">
        <is>
          <t>PASS</t>
        </is>
      </c>
    </row>
    <row r="165" ht="124" customHeight="1" s="73">
      <c r="A165" s="70" t="inlineStr">
        <is>
          <t>1917</t>
        </is>
      </c>
      <c r="B165" s="64" t="inlineStr">
        <is>
          <t>ReconXpert</t>
        </is>
      </c>
      <c r="C165" s="65" t="inlineStr">
        <is>
          <t>Sadis Alvarenga Hernandez (Financial Analysis and Control)</t>
        </is>
      </c>
      <c r="D165" s="65" t="inlineStr">
        <is>
          <t>BLA05, BLA06, DMA02, MA01, E01, E02, E03, E04, E05, E10, E16b</t>
        </is>
      </c>
      <c r="E165"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5" s="65" t="inlineStr">
        <is>
          <t>PASS – DIV executed and validated (Y/Y/Y) during the 11/15/2025 annual DR exercise, application in scope (MA01), results documented in BCiC/BCMS and approved by business line management (Sadis Alvarenga Hernandez).</t>
        </is>
      </c>
      <c r="G165" s="67" t="inlineStr">
        <is>
          <t>PASS</t>
        </is>
      </c>
    </row>
    <row r="166" ht="124" customHeight="1" s="73">
      <c r="A166" s="70" t="inlineStr">
        <is>
          <t>1936</t>
        </is>
      </c>
      <c r="B166" s="64" t="inlineStr">
        <is>
          <t>Swift Interface - BSI</t>
        </is>
      </c>
      <c r="C166" s="65" t="inlineStr">
        <is>
          <t>David Marquez (BSA/AML/OFAC Compliance)</t>
        </is>
      </c>
      <c r="D166" s="65" t="inlineStr">
        <is>
          <t>BLA03, BLA04, DMA02, DMA04, MA01, E01, E02, E03, E04, E05, E07, E08, E16b</t>
        </is>
      </c>
      <c r="E166"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6" s="65" t="inlineStr">
        <is>
          <t>PASS – DIV executed and validated (Y/Y/Y) during the 11/15/2025 annual DR exercise, application in scope (MA01), results documented in BCiC/BCMS and approved by business line management (David Marquez, Michelle Oropesa).</t>
        </is>
      </c>
      <c r="G166" s="67" t="inlineStr">
        <is>
          <t>PASS</t>
        </is>
      </c>
    </row>
    <row r="167" ht="124" customHeight="1" s="73">
      <c r="A167" s="70" t="inlineStr">
        <is>
          <t>1937</t>
        </is>
      </c>
      <c r="B167" s="64" t="inlineStr">
        <is>
          <t>T24</t>
        </is>
      </c>
      <c r="C167" s="65" t="inlineStr">
        <is>
          <t>Ricardo Garcia (Active Investment Services; Portfolio Advisory &amp; SAS; Products &amp; Investments Technology; Trading &amp; Capital Markets)</t>
        </is>
      </c>
      <c r="D167" s="65" t="inlineStr">
        <is>
          <t>BLA01, BLA02, BLA03, BLA04, BLA05, BLA06, DMA01, DMA02, DMA03, DMA04, DMA05, DMA06, DMA07, DMA08, DMA09, DMA10, DMA11, DMA12, MA01, E01, E02, E03, E04, E05, E07, E08, E09, E10, E16b</t>
        </is>
      </c>
      <c r="E167" s="65" t="inlineStr">
        <is>
          <t>14/14 PASS – D Application Name; B IT DR exercise name; C IT DR exercise name, was the excercise annually executed?; E Business Tester; F Business Data validation; G Business line manager name; H Business line manager approval dates; I DIV Test procedures listed within the Test results document; J Emails showing Business line manager approval of DIV testing results; K All evidence of Data Integrity DR test in BCIC; L Annual Testing Executed; M Data Integrity Validation Performed by IT DR Team; N Applications in Scope Identified; O Business Line Approval of Results</t>
        </is>
      </c>
      <c r="F167" s="65" t="inlineStr">
        <is>
          <t>PASS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67" s="67" t="inlineStr">
        <is>
          <t>PASS</t>
        </is>
      </c>
    </row>
    <row r="168" s="73"/>
    <row r="169" s="73"/>
    <row r="170" s="73"/>
    <row r="171" s="73"/>
    <row r="172" s="73"/>
    <row r="173" s="73"/>
    <row r="174" s="73"/>
    <row r="175" s="73"/>
    <row r="176" s="73"/>
    <row r="177" s="73"/>
    <row r="178" s="73"/>
    <row r="179" s="73"/>
    <row r="180" s="73"/>
    <row r="181" s="73"/>
    <row r="182" s="73"/>
    <row r="183" s="73"/>
    <row r="184" s="73"/>
    <row r="185" s="73"/>
    <row r="186" s="73"/>
    <row r="187" s="73"/>
    <row r="188" s="73"/>
    <row r="189" s="73"/>
    <row r="190" s="73"/>
    <row r="191" s="73"/>
    <row r="192" s="73"/>
    <row r="193" s="73"/>
    <row r="194" s="73"/>
    <row r="195" s="73"/>
    <row r="196" s="73"/>
    <row r="197" s="73"/>
    <row r="198" s="73"/>
    <row r="199" s="73"/>
    <row r="200" s="73"/>
    <row r="201" s="73"/>
    <row r="202" s="73"/>
    <row r="203" s="73"/>
    <row r="204" s="73"/>
    <row r="205" s="73"/>
    <row r="206" s="73"/>
    <row r="207" s="73"/>
    <row r="208" s="73"/>
    <row r="209" s="73"/>
    <row r="210" s="73"/>
    <row r="211" s="73"/>
    <row r="212" s="73"/>
    <row r="213" s="73"/>
    <row r="214" s="73"/>
    <row r="215" s="73"/>
    <row r="216" s="73"/>
    <row r="217" s="73"/>
    <row r="218" s="73"/>
    <row r="219" s="73"/>
    <row r="220" s="73"/>
    <row r="221" s="73"/>
    <row r="222" s="73"/>
    <row r="223" s="73"/>
    <row r="224" s="73"/>
    <row r="225" s="73"/>
    <row r="226" s="73"/>
    <row r="227" s="73"/>
    <row r="228" s="73"/>
    <row r="229" s="73"/>
    <row r="230" s="73"/>
    <row r="231" s="73"/>
    <row r="232" s="73"/>
    <row r="233" s="73"/>
    <row r="234" s="73"/>
    <row r="235" s="73"/>
    <row r="236" s="73"/>
    <row r="237" s="73"/>
    <row r="238" s="73"/>
    <row r="239" s="73"/>
    <row r="240" s="73"/>
    <row r="241" s="73"/>
    <row r="242" s="73"/>
    <row r="243" s="73"/>
    <row r="244" s="73"/>
    <row r="245" s="73"/>
    <row r="246" s="73"/>
    <row r="247" s="73"/>
    <row r="248" s="73"/>
    <row r="249" s="73"/>
    <row r="250" s="73"/>
    <row r="251" s="73"/>
    <row r="252" s="73"/>
    <row r="253" s="73"/>
    <row r="254" s="73"/>
    <row r="255" s="73"/>
    <row r="256" s="73"/>
    <row r="257" s="73"/>
    <row r="258" s="73"/>
    <row r="259" s="73"/>
    <row r="260" s="73"/>
    <row r="261" s="73"/>
    <row r="262" s="73"/>
    <row r="263" s="73"/>
    <row r="264" s="73"/>
    <row r="265" s="73"/>
    <row r="266" s="73"/>
    <row r="267" s="73"/>
    <row r="268" s="73"/>
    <row r="269" s="73"/>
    <row r="270" s="73"/>
    <row r="271" s="73"/>
    <row r="272" s="73"/>
    <row r="273" s="73"/>
    <row r="274" s="73"/>
    <row r="275" s="73"/>
    <row r="276" s="73"/>
    <row r="277" s="73"/>
    <row r="278" s="73"/>
    <row r="279" s="73"/>
  </sheetData>
  <mergeCells count="32">
    <mergeCell ref="H59:M59"/>
    <mergeCell ref="H47:N47"/>
    <mergeCell ref="A122:G122"/>
    <mergeCell ref="A91:G91"/>
    <mergeCell ref="H67:R67"/>
    <mergeCell ref="A62:G62"/>
    <mergeCell ref="A156:G156"/>
    <mergeCell ref="A38:G38"/>
    <mergeCell ref="H63:O63"/>
    <mergeCell ref="A58:G58"/>
    <mergeCell ref="A34:G34"/>
    <mergeCell ref="H22:M22"/>
    <mergeCell ref="H35:Q35"/>
    <mergeCell ref="A30:G30"/>
    <mergeCell ref="A82:G82"/>
    <mergeCell ref="H51:U51"/>
    <mergeCell ref="A107:G107"/>
    <mergeCell ref="H43:W43"/>
    <mergeCell ref="A1:G1"/>
    <mergeCell ref="H71:M71"/>
    <mergeCell ref="A70:G70"/>
    <mergeCell ref="H39:W39"/>
    <mergeCell ref="A25:G25"/>
    <mergeCell ref="H26:P26"/>
    <mergeCell ref="A46:G46"/>
    <mergeCell ref="A66:G66"/>
    <mergeCell ref="A74:G74"/>
    <mergeCell ref="H75:AA75"/>
    <mergeCell ref="A21:G21"/>
    <mergeCell ref="A50:G50"/>
    <mergeCell ref="H31:P31"/>
    <mergeCell ref="A42:G42"/>
  </mergeCells>
  <hyperlinks>
    <hyperlink ref="B3" location="'Application Attribute Testing'!A21" display="Application Name"/>
    <hyperlink ref="B4" location="'Application Attribute Testing'!A25" display="IT DR exercise name"/>
    <hyperlink ref="B5" location="'Application Attribute Testing-1'!C2" display="IT DR exercise name, was the excercise annually executed?"/>
    <hyperlink ref="B6" location="'Application Attribute Testing'!A30" display="Business Tester"/>
    <hyperlink ref="B7" location="'Application Attribute Testing'!A34" display="Business Data validation"/>
    <hyperlink ref="B8" location="'Application Attribute Testing'!A38" display="Business line manager name"/>
    <hyperlink ref="B9" location="'Application Attribute Testing'!A42" display="Business line manager approval dates"/>
    <hyperlink ref="B10" location="'Application Attribute Testing'!A46" display="DIV Test procedures listed within the Test results document"/>
    <hyperlink ref="B11" location="'Application Attribute Testing'!A50" display="Emails showing Business line manager approval of DIV testing results"/>
    <hyperlink ref="B12" location="'Application Attribute Testing'!A58" display="All evidence of Data Integrity DR test in BCIC"/>
    <hyperlink ref="B13" location="'Application Attribute Testing'!A62" display="Annual Testing Executed"/>
    <hyperlink ref="B14" location="'Application Attribute Testing'!A66" display="Data Integrity Validation Performed by IT DR Team"/>
    <hyperlink ref="B15" location="'Application Attribute Testing'!A70" display="Applications in Scope Identified"/>
    <hyperlink ref="B16" location="'Application Attribute Testing'!A74" display="Business Line Approval of Results"/>
    <hyperlink ref="B17" location="'Application Attribute Testing'!A82" display="Evidence review – original reference information (folders 01–04)"/>
    <hyperlink ref="B18" location="'Application Attribute Testing'!A122" display="Evidence reference table – evidence number → attribute tests"/>
    <hyperlink ref="B19" location="'Application Attribute Testing'!A156" display="Conclusion – all applications in scope (PASS) with evidence references"/>
    <hyperlink ref="A23" location="'Application Attribute Testing'!A109" display="MA01"/>
    <hyperlink ref="H23" location="'Application Attribute Testing'!A109" display="MA01"/>
    <hyperlink ref="I23" location="'Application Attribute Testing'!A110" display="E01"/>
    <hyperlink ref="J23" location="'Application Attribute Testing'!A111" display="E02"/>
    <hyperlink ref="K23" location="'Application Attribute Testing'!A112" display="E03"/>
    <hyperlink ref="L23" location="'Application Attribute Testing'!A113" display="E04"/>
    <hyperlink ref="M23" location="'Application Attribute Testing'!A120" display="E16b"/>
    <hyperlink ref="A27" location="'Application Attribute Testing'!A110" display="E01"/>
    <hyperlink ref="H27" location="'Application Attribute Testing'!A84" display="BLA01"/>
    <hyperlink ref="I27" location="'Application Attribute Testing'!A85" display="BLA02"/>
    <hyperlink ref="J27" location="'Application Attribute Testing'!A86" display="BLA03"/>
    <hyperlink ref="K27" location="'Application Attribute Testing'!A87" display="BLA04"/>
    <hyperlink ref="L27" location="'Application Attribute Testing'!A88" display="BLA05"/>
    <hyperlink ref="M27" location="'Application Attribute Testing'!A94" display="DMA02"/>
    <hyperlink ref="N27" location="'Application Attribute Testing'!A110" display="E01"/>
    <hyperlink ref="O27" location="'Application Attribute Testing'!A112" display="E03"/>
    <hyperlink ref="P27" location="'Application Attribute Testing'!A120" display="E16b"/>
    <hyperlink ref="A32" location="'Application Attribute Testing'!A112" display="E03"/>
    <hyperlink ref="H32" location="'Application Attribute Testing'!A84" display="BLA01"/>
    <hyperlink ref="I32" location="'Application Attribute Testing'!A85" display="BLA02"/>
    <hyperlink ref="J32" location="'Application Attribute Testing'!A86" display="BLA03"/>
    <hyperlink ref="K32" location="'Application Attribute Testing'!A87" display="BLA04"/>
    <hyperlink ref="L32" location="'Application Attribute Testing'!A88" display="BLA05"/>
    <hyperlink ref="M32" location="'Application Attribute Testing'!A112" display="E03"/>
    <hyperlink ref="N32" location="'Application Attribute Testing'!A113" display="E04"/>
    <hyperlink ref="O32" location="'Application Attribute Testing'!A117" display="E09"/>
    <hyperlink ref="P32" location="'Application Attribute Testing'!A120" display="E16b"/>
    <hyperlink ref="A36" location="'Application Attribute Testing'!A112" display="E03"/>
    <hyperlink ref="H36" location="'Application Attribute Testing'!A84" display="BLA01"/>
    <hyperlink ref="I36" location="'Application Attribute Testing'!A85" display="BLA02"/>
    <hyperlink ref="J36" location="'Application Attribute Testing'!A86" display="BLA03"/>
    <hyperlink ref="K36" location="'Application Attribute Testing'!A87" display="BLA04"/>
    <hyperlink ref="L36" location="'Application Attribute Testing'!A88" display="BLA05"/>
    <hyperlink ref="M36" location="'Application Attribute Testing'!A112" display="E03"/>
    <hyperlink ref="N36" location="'Application Attribute Testing'!A113" display="E04"/>
    <hyperlink ref="O36" location="'Application Attribute Testing'!A115" display="E07"/>
    <hyperlink ref="P36" location="'Application Attribute Testing'!A116" display="E08"/>
    <hyperlink ref="Q36" location="'Application Attribute Testing'!A120" display="E16b"/>
    <hyperlink ref="A40" location="'Application Attribute Testing'!A112" display="E03"/>
    <hyperlink ref="H40" location="'Application Attribute Testing'!A89" display="BLA06"/>
    <hyperlink ref="I40" location="'Application Attribute Testing'!A93" display="DMA01"/>
    <hyperlink ref="J40" location="'Application Attribute Testing'!A94" display="DMA02"/>
    <hyperlink ref="K40" location="'Application Attribute Testing'!A95" display="DMA03"/>
    <hyperlink ref="L40" location="'Application Attribute Testing'!A96" display="DMA04"/>
    <hyperlink ref="M40" location="'Application Attribute Testing'!A97" display="DMA05"/>
    <hyperlink ref="N40" location="'Application Attribute Testing'!A98" display="DMA06"/>
    <hyperlink ref="O40" location="'Application Attribute Testing'!A99" display="DMA07"/>
    <hyperlink ref="P40" location="'Application Attribute Testing'!A100" display="DMA08"/>
    <hyperlink ref="Q40" location="'Application Attribute Testing'!A101" display="DMA09"/>
    <hyperlink ref="R40" location="'Application Attribute Testing'!A102" display="DMA10"/>
    <hyperlink ref="S40" location="'Application Attribute Testing'!A103" display="DMA11"/>
    <hyperlink ref="T40" location="'Application Attribute Testing'!A104" display="DMA12"/>
    <hyperlink ref="U40" location="'Application Attribute Testing'!A112" display="E03"/>
    <hyperlink ref="V40" location="'Application Attribute Testing'!A113" display="E04"/>
    <hyperlink ref="W40" location="'Application Attribute Testing'!A117" display="E09"/>
    <hyperlink ref="A44" location="'Application Attribute Testing'!A112" display="E03"/>
    <hyperlink ref="H44" location="'Application Attribute Testing'!A89" display="BLA06"/>
    <hyperlink ref="I44" location="'Application Attribute Testing'!A93" display="DMA01"/>
    <hyperlink ref="J44" location="'Application Attribute Testing'!A94" display="DMA02"/>
    <hyperlink ref="K44" location="'Application Attribute Testing'!A95" display="DMA03"/>
    <hyperlink ref="L44" location="'Application Attribute Testing'!A96" display="DMA04"/>
    <hyperlink ref="M44" location="'Application Attribute Testing'!A97" display="DMA05"/>
    <hyperlink ref="N44" location="'Application Attribute Testing'!A98" display="DMA06"/>
    <hyperlink ref="O44" location="'Application Attribute Testing'!A99" display="DMA07"/>
    <hyperlink ref="P44" location="'Application Attribute Testing'!A100" display="DMA08"/>
    <hyperlink ref="Q44" location="'Application Attribute Testing'!A101" display="DMA09"/>
    <hyperlink ref="R44" location="'Application Attribute Testing'!A102" display="DMA10"/>
    <hyperlink ref="S44" location="'Application Attribute Testing'!A103" display="DMA11"/>
    <hyperlink ref="T44" location="'Application Attribute Testing'!A104" display="DMA12"/>
    <hyperlink ref="U44" location="'Application Attribute Testing'!A112" display="E03"/>
    <hyperlink ref="V44" location="'Application Attribute Testing'!A113" display="E04"/>
    <hyperlink ref="W44" location="'Application Attribute Testing'!A117" display="E09"/>
    <hyperlink ref="A48" location="'Application Attribute Testing'!A112" display="E03"/>
    <hyperlink ref="H48" location="'Application Attribute Testing'!A84" display="BLA01"/>
    <hyperlink ref="I48" location="'Application Attribute Testing'!A85" display="BLA02"/>
    <hyperlink ref="J48" location="'Application Attribute Testing'!A86" display="BLA03"/>
    <hyperlink ref="K48" location="'Application Attribute Testing'!A87" display="BLA04"/>
    <hyperlink ref="L48" location="'Application Attribute Testing'!A88" display="BLA05"/>
    <hyperlink ref="M48" location="'Application Attribute Testing'!A112" display="E03"/>
    <hyperlink ref="N48" location="'Application Attribute Testing'!A120" display="E16b"/>
    <hyperlink ref="A52" location="'Application Attribute Testing'!A89" display="BLA06"/>
    <hyperlink ref="H52" location="'Application Attribute Testing'!A89" display="BLA06"/>
    <hyperlink ref="I52" location="'Application Attribute Testing'!A93" display="DMA01"/>
    <hyperlink ref="J52" location="'Application Attribute Testing'!A94" display="DMA02"/>
    <hyperlink ref="K52" location="'Application Attribute Testing'!A95" display="DMA03"/>
    <hyperlink ref="L52" location="'Application Attribute Testing'!A96" display="DMA04"/>
    <hyperlink ref="M52" location="'Application Attribute Testing'!A97" display="DMA05"/>
    <hyperlink ref="N52" location="'Application Attribute Testing'!A98" display="DMA06"/>
    <hyperlink ref="O52" location="'Application Attribute Testing'!A99" display="DMA07"/>
    <hyperlink ref="P52" location="'Application Attribute Testing'!A100" display="DMA08"/>
    <hyperlink ref="Q52" location="'Application Attribute Testing'!A101" display="DMA09"/>
    <hyperlink ref="R52" location="'Application Attribute Testing'!A102" display="DMA10"/>
    <hyperlink ref="S52" location="'Application Attribute Testing'!A103" display="DMA11"/>
    <hyperlink ref="T52" location="'Application Attribute Testing'!A104" display="DMA12"/>
    <hyperlink ref="U52" location="'Application Attribute Testing'!A117" display="E09"/>
    <hyperlink ref="A53" location="'Application Attribute Testing'!A93" display="DMA01"/>
    <hyperlink ref="A54" location="'Application Attribute Testing'!A94" display="DMA02"/>
    <hyperlink ref="A55" location="'Application Attribute Testing'!A95" display="DMA03"/>
    <hyperlink ref="A56" location="'Application Attribute Testing'!A96" display="DMA04"/>
    <hyperlink ref="A60" location="'Application Attribute Testing'!A112" display="E03"/>
    <hyperlink ref="H60" location="'Application Attribute Testing'!A109" display="MA01"/>
    <hyperlink ref="I60" location="'Application Attribute Testing'!A110" display="E01"/>
    <hyperlink ref="J60" location="'Application Attribute Testing'!A111" display="E02"/>
    <hyperlink ref="K60" location="'Application Attribute Testing'!A112" display="E03"/>
    <hyperlink ref="L60" location="'Application Attribute Testing'!A113" display="E04"/>
    <hyperlink ref="M60" location="'Application Attribute Testing'!A120" display="E16b"/>
    <hyperlink ref="A64" location="'Application Attribute Testing'!A110" display="E01"/>
    <hyperlink ref="H64" location="'Application Attribute Testing'!A84" display="BLA01"/>
    <hyperlink ref="I64" location="'Application Attribute Testing'!A85" display="BLA02"/>
    <hyperlink ref="J64" location="'Application Attribute Testing'!A86" display="BLA03"/>
    <hyperlink ref="K64" location="'Application Attribute Testing'!A87" display="BLA04"/>
    <hyperlink ref="L64" location="'Application Attribute Testing'!A88" display="BLA05"/>
    <hyperlink ref="M64" location="'Application Attribute Testing'!A94" display="DMA02"/>
    <hyperlink ref="N64" location="'Application Attribute Testing'!A110" display="E01"/>
    <hyperlink ref="O64" location="'Application Attribute Testing'!A112" display="E03"/>
    <hyperlink ref="A68" location="'Application Attribute Testing'!A114" display="E05"/>
    <hyperlink ref="H68" location="'Application Attribute Testing'!A84" display="BLA01"/>
    <hyperlink ref="I68" location="'Application Attribute Testing'!A85" display="BLA02"/>
    <hyperlink ref="J68" location="'Application Attribute Testing'!A86" display="BLA03"/>
    <hyperlink ref="K68" location="'Application Attribute Testing'!A87" display="BLA04"/>
    <hyperlink ref="L68" location="'Application Attribute Testing'!A88" display="BLA05"/>
    <hyperlink ref="M68" location="'Application Attribute Testing'!A94" display="DMA02"/>
    <hyperlink ref="N68" location="'Application Attribute Testing'!A112" display="E03"/>
    <hyperlink ref="O68" location="'Application Attribute Testing'!A114" display="E05"/>
    <hyperlink ref="P68" location="'Application Attribute Testing'!A116" display="E08"/>
    <hyperlink ref="Q68" location="'Application Attribute Testing'!A117" display="E09"/>
    <hyperlink ref="R68" location="'Application Attribute Testing'!A118" display="E10"/>
    <hyperlink ref="A72" location="'Application Attribute Testing'!A109" display="MA01"/>
    <hyperlink ref="H72" location="'Application Attribute Testing'!A94" display="DMA02"/>
    <hyperlink ref="I72" location="'Application Attribute Testing'!A109" display="MA01"/>
    <hyperlink ref="J72" location="'Application Attribute Testing'!A110" display="E01"/>
    <hyperlink ref="K72" location="'Application Attribute Testing'!A111" display="E02"/>
    <hyperlink ref="L72" location="'Application Attribute Testing'!A114" display="E05"/>
    <hyperlink ref="M72" location="'Application Attribute Testing'!A117" display="E09"/>
    <hyperlink ref="A76" location="'Application Attribute Testing'!A89" display="BLA06"/>
    <hyperlink ref="H76" location="'Application Attribute Testing'!A84" display="BLA01"/>
    <hyperlink ref="I76" location="'Application Attribute Testing'!A85" display="BLA02"/>
    <hyperlink ref="J76" location="'Application Attribute Testing'!A86" display="BLA03"/>
    <hyperlink ref="K76" location="'Application Attribute Testing'!A87" display="BLA04"/>
    <hyperlink ref="L76" location="'Application Attribute Testing'!A88" display="BLA05"/>
    <hyperlink ref="M76" location="'Application Attribute Testing'!A89" display="BLA06"/>
    <hyperlink ref="N76" location="'Application Attribute Testing'!A93" display="DMA01"/>
    <hyperlink ref="O76" location="'Application Attribute Testing'!A94" display="DMA02"/>
    <hyperlink ref="P76" location="'Application Attribute Testing'!A95" display="DMA03"/>
    <hyperlink ref="Q76" location="'Application Attribute Testing'!A96" display="DMA04"/>
    <hyperlink ref="R76" location="'Application Attribute Testing'!A97" display="DMA05"/>
    <hyperlink ref="S76" location="'Application Attribute Testing'!A98" display="DMA06"/>
    <hyperlink ref="T76" location="'Application Attribute Testing'!A99" display="DMA07"/>
    <hyperlink ref="U76" location="'Application Attribute Testing'!A100" display="DMA08"/>
    <hyperlink ref="V76" location="'Application Attribute Testing'!A101" display="DMA09"/>
    <hyperlink ref="W76" location="'Application Attribute Testing'!A102" display="DMA10"/>
    <hyperlink ref="X76" location="'Application Attribute Testing'!A103" display="DMA11"/>
    <hyperlink ref="Y76" location="'Application Attribute Testing'!A104" display="DMA12"/>
    <hyperlink ref="Z76" location="'Application Attribute Testing'!A112" display="E03"/>
    <hyperlink ref="AA76" location="'Application Attribute Testing'!A117" display="E09"/>
    <hyperlink ref="A77" location="'Application Attribute Testing'!A93" display="DMA01"/>
    <hyperlink ref="A78" location="'Application Attribute Testing'!A94" display="DMA02"/>
    <hyperlink ref="A79" location="'Application Attribute Testing'!A95" display="DMA03"/>
    <hyperlink ref="A80" location="'Application Attribute Testing'!A96" display="DMA04"/>
    <hyperlink ref="A124" location="'Application Attribute Testing'!A84" display="BLA01"/>
    <hyperlink ref="A125" location="'Application Attribute Testing'!A85" display="BLA02"/>
    <hyperlink ref="A126" location="'Application Attribute Testing'!A86" display="BLA03"/>
    <hyperlink ref="A127" location="'Application Attribute Testing'!A87" display="BLA04"/>
    <hyperlink ref="A128" location="'Application Attribute Testing'!A88" display="BLA05"/>
    <hyperlink ref="A129" location="'Application Attribute Testing'!A89" display="BLA06"/>
    <hyperlink ref="A130" location="'Application Attribute Testing'!A93" display="DMA01"/>
    <hyperlink ref="A131" location="'Application Attribute Testing'!A94" display="DMA02"/>
    <hyperlink ref="A132" location="'Application Attribute Testing'!A95" display="DMA03"/>
    <hyperlink ref="A133" location="'Application Attribute Testing'!A96" display="DMA04"/>
    <hyperlink ref="A134" location="'Application Attribute Testing'!A97" display="DMA05"/>
    <hyperlink ref="A135" location="'Application Attribute Testing'!A98" display="DMA06"/>
    <hyperlink ref="A136" location="'Application Attribute Testing'!A99" display="DMA07"/>
    <hyperlink ref="A137" location="'Application Attribute Testing'!A100" display="DMA08"/>
    <hyperlink ref="A138" location="'Application Attribute Testing'!A101" display="DMA09"/>
    <hyperlink ref="A139" location="'Application Attribute Testing'!A102" display="DMA10"/>
    <hyperlink ref="A140" location="'Application Attribute Testing'!A103" display="DMA11"/>
    <hyperlink ref="A141" location="'Application Attribute Testing'!A104" display="DMA12"/>
    <hyperlink ref="A142" location="'Application Attribute Testing'!A105" display="DMA13"/>
    <hyperlink ref="A143" location="'Application Attribute Testing'!A109" display="MA01"/>
    <hyperlink ref="A144" location="'Application Attribute Testing'!A110" display="E01"/>
    <hyperlink ref="A145" location="'Application Attribute Testing'!A111" display="E02"/>
    <hyperlink ref="A146" location="'Application Attribute Testing'!A112" display="E03"/>
    <hyperlink ref="A147" location="'Application Attribute Testing'!A113" display="E04"/>
    <hyperlink ref="A148" location="'Application Attribute Testing'!A114" display="E05"/>
    <hyperlink ref="A149" location="'Application Attribute Testing'!A115" display="E07"/>
    <hyperlink ref="A150" location="'Application Attribute Testing'!A116" display="E08"/>
    <hyperlink ref="A151" location="'Application Attribute Testing'!A117" display="E09"/>
    <hyperlink ref="A152" location="'Application Attribute Testing'!A118" display="E10"/>
    <hyperlink ref="A153" location="'Application Attribute Testing'!A119" display="E13"/>
    <hyperlink ref="A154" location="'Application Attribute Testing'!A120" display="E16b"/>
    <hyperlink ref="A158" location="'Application Attribute Testing-1'!A3" display="1822"/>
    <hyperlink ref="B158" location="'Application Attribute Testing-1'!A3" display="ACH Express"/>
    <hyperlink ref="A159" location="'Application Attribute Testing-1'!A4" display="1867"/>
    <hyperlink ref="B159" location="'Application Attribute Testing-1'!A4" display="FedExport - BSI"/>
    <hyperlink ref="A160" location="'Application Attribute Testing-1'!A5" display="1868"/>
    <hyperlink ref="B160" location="'Application Attribute Testing-1'!A5" display="FedImport - BSI"/>
    <hyperlink ref="A161" location="'Application Attribute Testing-1'!A6" display="3299"/>
    <hyperlink ref="B161" location="'Application Attribute Testing-1'!A6" display="Imaging101"/>
    <hyperlink ref="A162" location="'Application Attribute Testing-1'!A7" display="4052"/>
    <hyperlink ref="B162" location="'Application Attribute Testing-1'!A7" display="Interface Monitor"/>
    <hyperlink ref="A163" location="'Application Attribute Testing-1'!A8" display="3301"/>
    <hyperlink ref="B163" location="'Application Attribute Testing-1'!A8" display="MQ Payment Monitor"/>
    <hyperlink ref="A164" location="'Application Attribute Testing-1'!A9" display="1903"/>
    <hyperlink ref="B164" location="'Application Attribute Testing-1'!A9" display="OFAC - BSI"/>
    <hyperlink ref="A165" location="'Application Attribute Testing-1'!A10" display="1917"/>
    <hyperlink ref="B165" location="'Application Attribute Testing-1'!A10" display="ReconXpert"/>
    <hyperlink ref="A166" location="'Application Attribute Testing-1'!A11" display="1936"/>
    <hyperlink ref="B166" location="'Application Attribute Testing-1'!A11" display="Swift Interface - BSI"/>
    <hyperlink ref="A167" location="'Application Attribute Testing-1'!A12" display="1937"/>
    <hyperlink ref="B167" location="'Application Attribute Testing-1'!A12" display="T24"/>
  </hyperlinks>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3" min="1" max="1"/>
    <col width="48" customWidth="1" style="73" min="2" max="2"/>
    <col width="60" customWidth="1" style="73" min="3" max="15"/>
    <col width="95" customWidth="1" style="73" min="16" max="16"/>
    <col width="45" customWidth="1" style="73" min="17" max="17"/>
  </cols>
  <sheetData>
    <row r="1" ht="18" customHeight="1" s="73">
      <c r="A1" s="23"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3"/>
    <row r="4" ht="60" customHeight="1" s="73">
      <c r="A4" s="24" t="inlineStr">
        <is>
          <t>Sample ID</t>
        </is>
      </c>
      <c r="B4" s="24" t="inlineStr">
        <is>
          <t>IT DR exercise name</t>
        </is>
      </c>
      <c r="C4" s="24" t="inlineStr">
        <is>
          <t>Application Name</t>
        </is>
      </c>
      <c r="D4" s="24" t="inlineStr">
        <is>
          <t>Business Tester</t>
        </is>
      </c>
      <c r="E4" s="24" t="inlineStr">
        <is>
          <t>Business Data validation</t>
        </is>
      </c>
      <c r="F4" s="24" t="inlineStr">
        <is>
          <t>Business line manager name</t>
        </is>
      </c>
      <c r="G4" s="24" t="inlineStr">
        <is>
          <t>Business line manager approval dates</t>
        </is>
      </c>
      <c r="H4" s="24" t="inlineStr">
        <is>
          <t>DIV Test procedures listed within the Test results document</t>
        </is>
      </c>
      <c r="I4" s="24" t="inlineStr">
        <is>
          <t>Emails showing Business line manager approval of DIV testing results</t>
        </is>
      </c>
      <c r="J4" s="24" t="inlineStr">
        <is>
          <t>All evidence of Data Integrity DR test in BCIC</t>
        </is>
      </c>
      <c r="K4" s="24" t="inlineStr">
        <is>
          <t>Annual Testing Executed</t>
        </is>
      </c>
      <c r="L4" s="24" t="inlineStr">
        <is>
          <t>Data Integrity Validation Performed by IT DR Team</t>
        </is>
      </c>
      <c r="M4" s="24" t="inlineStr">
        <is>
          <t>Applications in Scope Identified</t>
        </is>
      </c>
      <c r="N4" s="24" t="inlineStr">
        <is>
          <t>Business Line Approval of Results</t>
        </is>
      </c>
      <c r="O4" s="24" t="inlineStr">
        <is>
          <t>Results Documented in BCMS</t>
        </is>
      </c>
      <c r="P4" s="24" t="inlineStr">
        <is>
          <t>Supporting Evidence per Attribute</t>
        </is>
      </c>
      <c r="Q4" s="24" t="inlineStr">
        <is>
          <t>Control Sample Assessment Result (Pass/Fail)</t>
        </is>
      </c>
    </row>
    <row r="5" ht="409" customHeight="1" s="73">
      <c r="A5" s="25" t="n">
        <v>1822</v>
      </c>
      <c r="B5" s="25"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25"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25"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25"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25"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25"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25"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5" s="25"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25"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5"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25"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O5" s="25"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5"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5" s="25" t="inlineStr">
        <is>
          <t>PASS – with observations – MA01, BLA01, DMA01, DMA02, E01, E02, E03, E04, E05, E09, E16b</t>
        </is>
      </c>
    </row>
    <row r="6" ht="409" customHeight="1" s="73">
      <c r="A6" s="25" t="n">
        <v>1867</v>
      </c>
      <c r="B6" s="25"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25"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25"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25"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25"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25"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25"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6" s="25"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25"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6"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25"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O6" s="25"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6"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6" s="25" t="inlineStr">
        <is>
          <t>PASS – with observations – MA01, BLA01, DMA01, DMA02, E01, E02, E03, E04, E05, E09, E16b</t>
        </is>
      </c>
    </row>
    <row r="7" ht="409" customHeight="1" s="73">
      <c r="A7" s="25" t="n">
        <v>1868</v>
      </c>
      <c r="B7" s="25"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25"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25"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25"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25"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25"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25"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25"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7" s="25"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25"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7"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25"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25"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O7" s="25"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7"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7" s="25" t="inlineStr">
        <is>
          <t>PASS – with observations – MA01, BLA01, DMA01, DMA02, E01, E02, E03, E04, E05, E09, E16b</t>
        </is>
      </c>
    </row>
    <row r="8" ht="409" customHeight="1" s="73">
      <c r="A8" s="25" t="n">
        <v>3299</v>
      </c>
      <c r="B8" s="25"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25"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25"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25"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25"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G8" s="25"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25"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25" t="inlineStr">
        <is>
          <t>•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J8" s="25"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25"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25"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25"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O8" s="25"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8"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8" s="25" t="inlineStr">
        <is>
          <t>PASS – with observations – MA01, BLA01, BLA02, DMA01, DMA02, DMA05, DMA11, E01, E02, E03, E04, E05, E09, E16b</t>
        </is>
      </c>
    </row>
    <row r="9" ht="409" customHeight="1" s="73">
      <c r="A9" s="25" t="n">
        <v>4052</v>
      </c>
      <c r="B9" s="25"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25"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25"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25"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25"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G9" s="25"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H9" s="25"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25" t="inlineStr">
        <is>
          <t>• DMA04 – BSI.IT.6.C7.3-Evidences\03_DIV_Manager_Attestation_Email_Approvals\DMA04_RE_ Management Attestation – DIV – Investment Operations - Michelle Oropesa 08-17-2026.msg</t>
        </is>
      </c>
      <c r="J9" s="25"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25"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L9"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25"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9" s="25"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O9" s="25"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9" s="25"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Q9" s="25" t="inlineStr">
        <is>
          <t>PASS – with observations – MA01, BLA04, DMA02, DMA04, E01, E02, E03, E04, E05, E16b</t>
        </is>
      </c>
    </row>
    <row r="10" ht="409" customHeight="1" s="73">
      <c r="A10" s="25" t="n">
        <v>3301</v>
      </c>
      <c r="B10" s="25"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25"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25"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25"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25"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G10" s="25"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H10" s="25"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25" t="inlineStr">
        <is>
          <t>• DMA03 – BSI.IT.6.C7.3-Evidences\03_DIV_Manager_Attestation_Email_Approvals\DMA03_RE_ Management Attestation – DIV – Payments &amp; Cash Management - Frank Puentes 08-18-2026.msg</t>
        </is>
      </c>
      <c r="J10" s="25"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25"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L10"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25"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0" s="25"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O10" s="25"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0" s="25"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0" s="25" t="inlineStr">
        <is>
          <t>PASS – with observations – MA01, BLA03, DMA02, DMA03, E01, E02, E03, E04, E05, E07, E08, E16b</t>
        </is>
      </c>
    </row>
    <row r="11" ht="409" customHeight="1" s="73">
      <c r="A11" s="25" t="n">
        <v>1903</v>
      </c>
      <c r="B11" s="25"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25"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25"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25"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25"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G11" s="25"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25"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25" t="inlineStr">
        <is>
          <t>•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J11" s="25"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25"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25"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1" s="25"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O11" s="25"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1" s="25"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1" s="25" t="inlineStr">
        <is>
          <t>PASS – with observations – MA01, BLA02, BLA03, DMA02, DMA03, DMA05, E01, E02, E03, E04, E05, E07, E08, E16b</t>
        </is>
      </c>
    </row>
    <row r="12" ht="409" customHeight="1" s="73">
      <c r="A12" s="25" t="n">
        <v>1917</v>
      </c>
      <c r="B12" s="25"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25"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25"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25"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25"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25"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25"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25" t="inlineStr">
        <is>
          <t>• BLA06 – BSI.IT.6.C7.3-Evidences\02_Business_Line_Approval_Results_Email\BLA06_RE_ Testing enviroment - Financial Analysis Manager Approval - Sadis Alvarenga 01-26-2026.msg</t>
        </is>
      </c>
      <c r="J12" s="25"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25"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L12"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25"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2" s="25"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25"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2" s="25"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2" s="25" t="inlineStr">
        <is>
          <t>PASS – with observations – MA01, BLA05, BLA06, DMA02, E01, E02, E03, E04, E05, E10, E16b</t>
        </is>
      </c>
    </row>
    <row r="13" ht="409" customHeight="1" s="73">
      <c r="A13" s="25" t="n">
        <v>1936</v>
      </c>
      <c r="B13" s="25"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25"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25"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25"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25"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G13" s="25"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25"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25" t="inlineStr">
        <is>
          <t>•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J13" s="25"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25"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25"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3" s="25"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O13" s="25"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3" s="25"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3" s="25" t="inlineStr">
        <is>
          <t>PASS – with observations – MA01, BLA03, BLA04, DMA02, DMA04, E01, E02, E03, E04, E05, E07, E08, E16b</t>
        </is>
      </c>
    </row>
    <row r="14" ht="409" customHeight="1" s="73">
      <c r="A14" s="25" t="n">
        <v>1937</v>
      </c>
      <c r="B14" s="25"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25"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25"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25"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25"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G14" s="25"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25"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25" t="inlineStr">
        <is>
          <t>•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J14" s="25"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25"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25"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25"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4" s="25"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25"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4" s="25"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4" s="25" t="inlineStr">
        <is>
          <t>PASS – with observations – MA01, BLA01, BLA02, BLA03, BLA04, BLA05, BLA06, DMA01, DMA02, DMA03, DMA04, DMA05, DMA06, DMA07, DMA08, DMA09, DMA10, DMA11, DMA12, E01, E02, E03, E04, E05, E07, E08, E09, E10, E16b</t>
        </is>
      </c>
    </row>
    <row r="15"/>
    <row r="16" ht="15.5" customHeight="1" s="73">
      <c r="A16" s="26" t="inlineStr">
        <is>
          <t>Observations noted while mapping evidence (see Application + Attribute Testing tab – Observations section for full detail)</t>
        </is>
      </c>
    </row>
    <row r="17" ht="45" customHeight="1" s="73">
      <c r="A17" t="n">
        <v>1</v>
      </c>
      <c r="B17" s="86"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3">
      <c r="A18" t="n">
        <v>2</v>
      </c>
      <c r="B18" s="86"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3">
      <c r="A19" t="n">
        <v>3</v>
      </c>
      <c r="B19" s="86" t="inlineStr">
        <is>
          <t>FedExport – BCiC Department Manager Approval Date 06/05/2026 (E03 row 9, E04) vs Claudia Romero "Approved." 05/05/2026 (E09).</t>
        </is>
      </c>
    </row>
    <row r="20" ht="45" customHeight="1" s="73">
      <c r="A20" t="n">
        <v>4</v>
      </c>
      <c r="B20" s="86" t="inlineStr">
        <is>
          <t>BLA02 (BSA/AML/OFAC) test script – DIV Yes/No answer boxes are blank.</t>
        </is>
      </c>
    </row>
    <row r="21" ht="45" customHeight="1" s="73">
      <c r="A21" t="n">
        <v>5</v>
      </c>
      <c r="B21" s="86" t="inlineStr">
        <is>
          <t>BSA T24 record (E03 row 8) Attestation Date 08/29/2026 vs signed attestation 8/19/2026 (DMA02 attachment); Financial Risk manager recorded as "Xavier Caisapanta" in BCiC while the approval email is from Ivan Caisapanta (DMA08).</t>
        </is>
      </c>
    </row>
    <row r="22" ht="45" customHeight="1" s="73">
      <c r="A22" t="n">
        <v>6</v>
      </c>
      <c r="B22" s="86"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0"/>
  <sheetViews>
    <sheetView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2" min="1" max="1"/>
    <col width="55" customWidth="1" style="32" min="2" max="3"/>
    <col width="38.5" customWidth="1" style="32" min="4" max="4"/>
    <col width="18" customWidth="1" style="32" min="5" max="5"/>
    <col width="24" customWidth="1" style="32" min="6" max="6"/>
    <col width="60" customWidth="1" style="32" min="7" max="7"/>
    <col width="30" customWidth="1" style="32" min="8" max="8"/>
    <col width="50" customWidth="1" style="32" min="9" max="9"/>
    <col width="35" customWidth="1" style="32" min="10" max="10"/>
    <col width="28" customWidth="1" style="32" min="11" max="11"/>
    <col width="8.6640625" customWidth="1" style="32" min="12" max="12"/>
    <col width="8.6640625" customWidth="1" style="32" min="13" max="16384"/>
  </cols>
  <sheetData>
    <row r="1" ht="18" customHeight="1" s="73">
      <c r="A1" s="30" t="inlineStr">
        <is>
          <t>BSI.IT.6.C7.3 – Evidence Index (repository BSI.IT.6.C7.3-Evidences)</t>
        </is>
      </c>
      <c r="B1" s="31" t="n"/>
      <c r="C1" s="31" t="n"/>
      <c r="D1" s="31" t="n"/>
      <c r="E1" s="31" t="n"/>
      <c r="F1" s="31" t="n"/>
      <c r="G1" s="31" t="n"/>
      <c r="H1" s="31" t="n"/>
      <c r="I1" s="31" t="n"/>
      <c r="J1" s="31" t="n"/>
      <c r="K1" s="31" t="n"/>
      <c r="L1" s="31" t="n"/>
    </row>
    <row r="2" customFormat="1" s="33">
      <c r="A2" s="33" t="inlineStr">
        <is>
          <t>Ref</t>
        </is>
      </c>
      <c r="B2" s="33" t="inlineStr">
        <is>
          <t>Evidence file name (as saved)</t>
        </is>
      </c>
      <c r="C2" s="33" t="inlineStr">
        <is>
          <t>Repository folder location</t>
        </is>
      </c>
      <c r="D2" s="33" t="inlineStr">
        <is>
          <t>Original file name (as received)</t>
        </is>
      </c>
      <c r="E2" s="33" t="inlineStr">
        <is>
          <t>Source package (as received)</t>
        </is>
      </c>
      <c r="F2" s="33" t="inlineStr">
        <is>
          <t>Type</t>
        </is>
      </c>
      <c r="G2" s="33" t="inlineStr">
        <is>
          <t>Date / Owner</t>
        </is>
      </c>
      <c r="H2" s="33" t="inlineStr">
        <is>
          <t>Content</t>
        </is>
      </c>
      <c r="I2" s="33" t="inlineStr">
        <is>
          <t>Sample IDs supported</t>
        </is>
      </c>
      <c r="J2" s="33" t="inlineStr">
        <is>
          <t>Workpaper columns supported (Application + Attribute Testing)</t>
        </is>
      </c>
      <c r="K2" s="33" t="inlineStr">
        <is>
          <t>Duplicates / cross-reference</t>
        </is>
      </c>
      <c r="L2" s="34" t="n"/>
    </row>
    <row r="3" ht="125" customHeight="1" s="73">
      <c r="A3" s="71" t="inlineStr">
        <is>
          <t>MA01</t>
        </is>
      </c>
      <c r="B3" s="35" t="inlineStr">
        <is>
          <t>MA01_BSI In-Scope Applications-2026.png</t>
        </is>
      </c>
      <c r="C3" s="35" t="inlineStr">
        <is>
          <t>BSI.IT.6.C7.3-Evidences\01_Management_Attestation_In-Scope_Applications</t>
        </is>
      </c>
      <c r="D3" s="35" t="inlineStr">
        <is>
          <t>BSI In-Scope Applications-20206.png</t>
        </is>
      </c>
      <c r="E3" s="35" t="inlineStr">
        <is>
          <t>Management_Attestation.zip</t>
        </is>
      </c>
      <c r="F3" s="35" t="inlineStr">
        <is>
          <t>BCiC screenshot</t>
        </is>
      </c>
      <c r="G3" s="35" t="inlineStr">
        <is>
          <t>09/23/2026 – Cesar Vidal (BCiC walkthrough)</t>
        </is>
      </c>
      <c r="H3" s="35"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35" t="inlineStr">
        <is>
          <t>1822, 1867, 1868, 3299, 4052, 3301, 1903, 1917, 1936, 1937</t>
        </is>
      </c>
      <c r="J3" s="35" t="inlineStr">
        <is>
          <t>D, K, N</t>
        </is>
      </c>
      <c r="K3" s="35" t="n"/>
      <c r="L3" s="31" t="n"/>
    </row>
    <row r="4" ht="34.5" customHeight="1" s="73">
      <c r="A4" s="71" t="inlineStr">
        <is>
          <t>BLA01</t>
        </is>
      </c>
      <c r="B4" s="35" t="inlineStr">
        <is>
          <t>BLA01_Client Back Office - FED Inclearing ACH &amp; Cash Letter - DIV Test Results 11-15-2025.pdf</t>
        </is>
      </c>
      <c r="C4" s="35" t="inlineStr">
        <is>
          <t>BSI.IT.6.C7.3-Evidences\02_Business_Line_Approval_Results_Email</t>
        </is>
      </c>
      <c r="D4" s="35" t="inlineStr">
        <is>
          <t>Client Back Office - FED inclearing ACH  Cash letter (1).pdf</t>
        </is>
      </c>
      <c r="E4" s="35" t="inlineStr">
        <is>
          <t>Business Line Approval Results - Email.zip</t>
        </is>
      </c>
      <c r="F4" s="35" t="inlineStr">
        <is>
          <t>DR test script / DIV test results</t>
        </is>
      </c>
      <c r="G4" s="35" t="inlineStr">
        <is>
          <t>11/15/2025 – Client Back Office (operator Raimy Ayala)</t>
        </is>
      </c>
      <c r="H4" s="35" t="inlineStr">
        <is>
          <t>DR test script with Data Integrity Validation section. Application in-scope: FedImport, FedExport, Imaging101, T24. Format / Headers / Content = Y – "No data discrepancy found". Steps include ACH Express import and Imaging101 validation screenshots (14 pages).</t>
        </is>
      </c>
      <c r="I4" s="35" t="inlineStr">
        <is>
          <t>1822, 1867, 1868, 3299, 1937</t>
        </is>
      </c>
      <c r="J4" s="35" t="inlineStr">
        <is>
          <t>B, E, F, I, L, M, O</t>
        </is>
      </c>
      <c r="K4" s="35" t="n"/>
      <c r="L4" s="31" t="n"/>
    </row>
    <row r="5" ht="34.5" customHeight="1" s="73">
      <c r="A5" s="71" t="inlineStr">
        <is>
          <t>BLA02</t>
        </is>
      </c>
      <c r="B5" s="35" t="inlineStr">
        <is>
          <t>BLA02_BSA_AML_OFAC Compliance - OFAC Verifier - DIV Test Results 11-15-2025.pdf</t>
        </is>
      </c>
      <c r="C5" s="35" t="inlineStr">
        <is>
          <t>BSI.IT.6.C7.3-Evidences\02_Business_Line_Approval_Results_Email</t>
        </is>
      </c>
      <c r="D5" s="35" t="inlineStr">
        <is>
          <t>BSA_AML_OFAC Compliance - DM 11.15.2025 (002) (1).pdf</t>
        </is>
      </c>
      <c r="E5" s="35" t="inlineStr">
        <is>
          <t>Business Line Approval Results - Email.zip</t>
        </is>
      </c>
      <c r="F5" s="35" t="inlineStr">
        <is>
          <t>DR test script / DIV test results</t>
        </is>
      </c>
      <c r="G5" s="35" t="inlineStr">
        <is>
          <t>11/15/2025 – BSA/AML/OFAC Compliance (operator David Marquez)</t>
        </is>
      </c>
      <c r="H5" s="35" t="inlineStr">
        <is>
          <t>OFAC Verifier test script. Application in-scope: T24, Imaging101, OFAC. DIV procedure instructions listed; production-day (11/14/2025) vs test-day (11/15/2025) screenshots for T24, Imaging101/ModeloIC and OFAC Report 64. NOTE: DIV Yes/No answer boxes on p.1 are blank.</t>
        </is>
      </c>
      <c r="I5" s="35" t="inlineStr">
        <is>
          <t>3299, 1903, 1937</t>
        </is>
      </c>
      <c r="J5" s="35" t="inlineStr">
        <is>
          <t>B, E, F, I, L, M, O</t>
        </is>
      </c>
      <c r="K5" s="35" t="n"/>
      <c r="L5" s="31" t="n"/>
    </row>
    <row r="6" ht="69" customHeight="1" s="73">
      <c r="A6" s="71" t="inlineStr">
        <is>
          <t>BLA03</t>
        </is>
      </c>
      <c r="B6" s="35" t="inlineStr">
        <is>
          <t>BLA03_Payments &amp; Cash Management - Payments Script - DIV Test Results 11-15-2025.pdf</t>
        </is>
      </c>
      <c r="C6" s="35" t="inlineStr">
        <is>
          <t>BSI.IT.6.C7.3-Evidences\02_Business_Line_Approval_Results_Email</t>
        </is>
      </c>
      <c r="D6" s="35" t="inlineStr">
        <is>
          <t>PAYMENTS SCRIPT NOV 2025.pdf</t>
        </is>
      </c>
      <c r="E6" s="35" t="inlineStr">
        <is>
          <t>Business Line Approval Results - Email.zip</t>
        </is>
      </c>
      <c r="F6" s="35" t="inlineStr">
        <is>
          <t>DR test script / DIV test results</t>
        </is>
      </c>
      <c r="G6" s="35" t="inlineStr">
        <is>
          <t>11/15/2025 – Payments &amp; Position Management (operators Frank Puentes / Gustavo Bucaro)</t>
        </is>
      </c>
      <c r="H6" s="35" t="inlineStr">
        <is>
          <t>Wire Transfer / Cash Mgt / Financial Messaging script. DIV application in-scope: T24, MQ Payment Monitor, OFAC – BSI, Fedlink – BSI, Swift Interface – BSI. Format / Headers / Content = yes; data from 11/14/2025 Fed &amp; SWIFT reconciled.</t>
        </is>
      </c>
      <c r="I6" s="35" t="inlineStr">
        <is>
          <t>3301, 1903, 1936, 1937</t>
        </is>
      </c>
      <c r="J6" s="35" t="inlineStr">
        <is>
          <t>B, E, F, I, L, M, O</t>
        </is>
      </c>
      <c r="K6" s="35" t="n"/>
      <c r="L6" s="31" t="n"/>
    </row>
    <row r="7" ht="46" customHeight="1" s="73">
      <c r="A7" s="71" t="inlineStr">
        <is>
          <t>BLA04</t>
        </is>
      </c>
      <c r="B7" s="35" t="inlineStr">
        <is>
          <t>BLA04_Investment Operations - Treasury Hub &amp; Derivatives Operations - DIV Test Results 11-15-2025.docx</t>
        </is>
      </c>
      <c r="C7" s="35" t="inlineStr">
        <is>
          <t>BSI.IT.6.C7.3-Evidences\02_Business_Line_Approval_Results_Email</t>
        </is>
      </c>
      <c r="D7" s="35" t="inlineStr">
        <is>
          <t>Investment Operations- Treasury Hub &amp; Derivatives Operations (1).docx</t>
        </is>
      </c>
      <c r="E7" s="35" t="inlineStr">
        <is>
          <t>Business Line Approval Results - Email.zip</t>
        </is>
      </c>
      <c r="F7" s="35" t="inlineStr">
        <is>
          <t>DR test script / DIV test results</t>
        </is>
      </c>
      <c r="G7" s="35" t="inlineStr">
        <is>
          <t>11/15/2025 – Investment Operations (operator Michelle Oropesa)</t>
        </is>
      </c>
      <c r="H7" s="35" t="inlineStr">
        <is>
          <t>Treasury Hub &amp; Derivatives Operations script. Systems accessed: Swift Interface Monitor – BSI, T24, MS Office, DTCC. DIV application in-scope: T24 &amp; Swift Interface – BSI. Incoming MT300 and FX S reports matched 11/14 vs 11/15; Format / Headers / Content = Yes.</t>
        </is>
      </c>
      <c r="I7" s="35" t="inlineStr">
        <is>
          <t>4052, 1936, 1937</t>
        </is>
      </c>
      <c r="J7" s="35" t="inlineStr">
        <is>
          <t>B, E, F, I, L, M, O</t>
        </is>
      </c>
      <c r="K7" s="35" t="n"/>
      <c r="L7" s="31" t="n"/>
    </row>
    <row r="8" ht="23" customHeight="1" s="73">
      <c r="A8" s="71" t="inlineStr">
        <is>
          <t>BLA05</t>
        </is>
      </c>
      <c r="B8" s="35" t="inlineStr">
        <is>
          <t>BLA05_Financial Analysis and Control - GL ReconXpert - DIV Test Results 11-15-2025.pdf</t>
        </is>
      </c>
      <c r="C8" s="35" t="inlineStr">
        <is>
          <t>BSI.IT.6.C7.3-Evidences\02_Business_Line_Approval_Results_Email</t>
        </is>
      </c>
      <c r="D8" s="35" t="inlineStr">
        <is>
          <t>Financial Analysis and Control-GL (1).pdf</t>
        </is>
      </c>
      <c r="E8" s="35" t="inlineStr">
        <is>
          <t>Business Line Approval Results - Email.zip</t>
        </is>
      </c>
      <c r="F8" s="35" t="inlineStr">
        <is>
          <t>DR test script / DIV test results</t>
        </is>
      </c>
      <c r="G8" s="35" t="inlineStr">
        <is>
          <t>11/15/2025 – Finance &amp; Accounting Reporting (operator Dunia Gonzalez Collado)</t>
        </is>
      </c>
      <c r="H8" s="35" t="inlineStr">
        <is>
          <t>General ledger review script. DIV application in-scope: T24 &amp; ReconXpert. Reconciliations passed; Format / Headers / Content = Yes, "No discrepancies found on the report".</t>
        </is>
      </c>
      <c r="I8" s="35" t="inlineStr">
        <is>
          <t>1917, 1937</t>
        </is>
      </c>
      <c r="J8" s="35" t="inlineStr">
        <is>
          <t>B, E, F, I, L, M, O</t>
        </is>
      </c>
      <c r="K8" s="35" t="n"/>
      <c r="L8" s="31" t="n"/>
    </row>
    <row r="9" ht="23" customHeight="1" s="73">
      <c r="A9" s="71" t="inlineStr">
        <is>
          <t>BLA06</t>
        </is>
      </c>
      <c r="B9" s="35" t="inlineStr">
        <is>
          <t>BLA06_RE_ Testing enviroment - Financial Analysis Manager Approval - Sadis Alvarenga 01-26-2026.msg</t>
        </is>
      </c>
      <c r="C9" s="35" t="inlineStr">
        <is>
          <t>BSI.IT.6.C7.3-Evidences\02_Business_Line_Approval_Results_Email</t>
        </is>
      </c>
      <c r="D9" s="35" t="inlineStr">
        <is>
          <t>RE_ Testing enviroment.msg</t>
        </is>
      </c>
      <c r="E9" s="35" t="inlineStr">
        <is>
          <t>Business Line Approval Results - Email.zip</t>
        </is>
      </c>
      <c r="F9" s="35" t="inlineStr">
        <is>
          <t>Email approval</t>
        </is>
      </c>
      <c r="G9" s="35" t="inlineStr">
        <is>
          <t>12/31/2025 &amp; 01/26/2026 – Sadis Alvarenga</t>
        </is>
      </c>
      <c r="H9" s="35" t="inlineStr">
        <is>
          <t>Sadis Alvarenga (Financial Analysis &amp; Control manager) replies "Approved." on 12/31/2025 and again on 01/26/2026 to Elizabeth Noda's request to approve the submitted test script.</t>
        </is>
      </c>
      <c r="I9" s="35" t="inlineStr">
        <is>
          <t>1917, 1937</t>
        </is>
      </c>
      <c r="J9" s="35" t="inlineStr">
        <is>
          <t>G, H, J, O</t>
        </is>
      </c>
      <c r="K9" s="35" t="n"/>
      <c r="L9" s="31" t="n"/>
    </row>
    <row r="10" ht="34.5" customHeight="1" s="73">
      <c r="A10" s="71" t="inlineStr">
        <is>
          <t>DMA01</t>
        </is>
      </c>
      <c r="B10" s="35" t="inlineStr">
        <is>
          <t>DMA01_RE_ Management Attestation – DIV – Client Back Office - Claudia Romero 08-18-2026.msg</t>
        </is>
      </c>
      <c r="C10" s="35" t="inlineStr">
        <is>
          <t>BSI.IT.6.C7.3-Evidences\03_DIV_Manager_Attestation_Email_Approvals</t>
        </is>
      </c>
      <c r="D10" s="35" t="inlineStr">
        <is>
          <t>RE_ Management Attestation – DIV Client Back Office.msg</t>
        </is>
      </c>
      <c r="E10" s="35" t="inlineStr">
        <is>
          <t>DIV Manager Attestation Email_Approvals.zip</t>
        </is>
      </c>
      <c r="F10" s="35" t="inlineStr">
        <is>
          <t>Email attestation</t>
        </is>
      </c>
      <c r="G10" s="35" t="inlineStr">
        <is>
          <t>08/18/2026 – Claudia Romero</t>
        </is>
      </c>
      <c r="H10" s="35" t="inlineStr">
        <is>
          <t>Claudia Romero (Client Back Office Manager VP) returns the signed Management Attestation – attachment: Data_Integrity_Attestation_Santander-BCiC (002).pdf (signed Claudia Romero).</t>
        </is>
      </c>
      <c r="I10" s="35" t="inlineStr">
        <is>
          <t>1822, 1867, 1868, 3299, 1937</t>
        </is>
      </c>
      <c r="J10" s="35" t="inlineStr">
        <is>
          <t>G, H, J, O</t>
        </is>
      </c>
      <c r="K10" s="35" t="n"/>
      <c r="L10" s="31" t="n"/>
    </row>
    <row r="11" ht="23" customHeight="1" s="73">
      <c r="A11" s="71" t="inlineStr">
        <is>
          <t>DMA02</t>
        </is>
      </c>
      <c r="B11" s="35" t="inlineStr">
        <is>
          <t>DMA02_RE_ Management Attestation – DIV – BSA-AML-OFAC Compliance - David Marquez 08-19-2026.msg</t>
        </is>
      </c>
      <c r="C11" s="35" t="inlineStr">
        <is>
          <t>BSI.IT.6.C7.3-Evidences\03_DIV_Manager_Attestation_Email_Approvals</t>
        </is>
      </c>
      <c r="D11" s="35" t="inlineStr">
        <is>
          <t>RE_ Management Attestation – OFAC.msg</t>
        </is>
      </c>
      <c r="E11" s="35" t="inlineStr">
        <is>
          <t>DIV Manager Attestation Email_Approvals.zip</t>
        </is>
      </c>
      <c r="F11" s="35" t="inlineStr">
        <is>
          <t>Email attestation</t>
        </is>
      </c>
      <c r="G11" s="35" t="inlineStr">
        <is>
          <t>08/19/2026 – David Marquez</t>
        </is>
      </c>
      <c r="H11" s="35"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I11" s="35" t="inlineStr">
        <is>
          <t>1822, 1867, 1868, 3299, 4052, 3301, 1903, 1917, 1936, 1937</t>
        </is>
      </c>
      <c r="J11" s="35" t="inlineStr">
        <is>
          <t>B, C, G, H, J, L, M, N, O, P</t>
        </is>
      </c>
      <c r="K11" s="35" t="n"/>
      <c r="L11" s="31" t="n"/>
    </row>
    <row r="12" ht="34.5" customHeight="1" s="73">
      <c r="A12" s="71" t="inlineStr">
        <is>
          <t>DMA03</t>
        </is>
      </c>
      <c r="B12" s="35" t="inlineStr">
        <is>
          <t>DMA03_RE_ Management Attestation – DIV – Payments &amp; Cash Management - Frank Puentes 08-18-2026.msg</t>
        </is>
      </c>
      <c r="C12" s="35" t="inlineStr">
        <is>
          <t>BSI.IT.6.C7.3-Evidences\03_DIV_Manager_Attestation_Email_Approvals</t>
        </is>
      </c>
      <c r="D12" s="35" t="inlineStr">
        <is>
          <t>Management Attestation – DIV Payment &amp; Cash Management.msg</t>
        </is>
      </c>
      <c r="E12" s="35" t="inlineStr">
        <is>
          <t>DIV Manager Attestation Email_Approvals.zip</t>
        </is>
      </c>
      <c r="F12" s="35" t="inlineStr">
        <is>
          <t>Email attestation</t>
        </is>
      </c>
      <c r="G12" s="35" t="inlineStr">
        <is>
          <t>08/18/2026 – Frank Puentes</t>
        </is>
      </c>
      <c r="H12" s="35" t="inlineStr">
        <is>
          <t>Frank Puentes returns the signed attestation – attachment: 4069_001.pdf (scan, signed Executive Director, Payments &amp; Cash Management, 8/18/2026).</t>
        </is>
      </c>
      <c r="I12" s="35" t="inlineStr">
        <is>
          <t>3301, 1903, 1937</t>
        </is>
      </c>
      <c r="J12" s="35" t="inlineStr">
        <is>
          <t>G, H, J, O</t>
        </is>
      </c>
      <c r="K12" s="35" t="n"/>
      <c r="L12" s="31" t="n"/>
    </row>
    <row r="13" ht="34.5" customHeight="1" s="73">
      <c r="A13" s="71" t="inlineStr">
        <is>
          <t>DMA04</t>
        </is>
      </c>
      <c r="B13" s="35" t="inlineStr">
        <is>
          <t>DMA04_RE_ Management Attestation – DIV – Investment Operations - Michelle Oropesa 08-17-2026.msg</t>
        </is>
      </c>
      <c r="C13" s="35" t="inlineStr">
        <is>
          <t>BSI.IT.6.C7.3-Evidences\03_DIV_Manager_Attestation_Email_Approvals</t>
        </is>
      </c>
      <c r="D13" s="35" t="inlineStr">
        <is>
          <t>RE_ Management Attestation – DIV Investment Operations.msg</t>
        </is>
      </c>
      <c r="E13" s="35" t="inlineStr">
        <is>
          <t>DIV Manager Attestation Email_Approvals.zip</t>
        </is>
      </c>
      <c r="F13" s="35" t="inlineStr">
        <is>
          <t>Email attestation</t>
        </is>
      </c>
      <c r="G13" s="35" t="inlineStr">
        <is>
          <t>08/17/2026 – Michelle Oropesa</t>
        </is>
      </c>
      <c r="H13" s="35" t="inlineStr">
        <is>
          <t>Michelle Oropesa (Investment Operations Director) returns the signed attestation – attachment: Data_Integrity_Attestation_Santander-BCiC.pdf (signed Investment Operations Director, VP, 8/17/2026).</t>
        </is>
      </c>
      <c r="I13" s="35" t="inlineStr">
        <is>
          <t>4052, 1936, 1937</t>
        </is>
      </c>
      <c r="J13" s="35" t="inlineStr">
        <is>
          <t>G, H, J, O</t>
        </is>
      </c>
      <c r="K13" s="35" t="n"/>
      <c r="L13" s="31" t="n"/>
    </row>
    <row r="14" ht="34.5" customHeight="1" s="73">
      <c r="A14" s="71" t="inlineStr">
        <is>
          <t>DMA05</t>
        </is>
      </c>
      <c r="B14" s="35" t="inlineStr">
        <is>
          <t>DMA05_RE_ Management Attestation – DIV – Operations (Governance &amp; Static Data, Multi-Family Office) - Maria Teresa Del Cerro 08-19-2026.msg</t>
        </is>
      </c>
      <c r="C14" s="35" t="inlineStr">
        <is>
          <t>BSI.IT.6.C7.3-Evidences\03_DIV_Manager_Attestation_Email_Approvals</t>
        </is>
      </c>
      <c r="D14" s="35" t="inlineStr">
        <is>
          <t>RE_ Management Attestation – DIV Operations.msg</t>
        </is>
      </c>
      <c r="E14" s="35" t="inlineStr">
        <is>
          <t>DIV Manager Attestation Email_Approvals.zip</t>
        </is>
      </c>
      <c r="F14" s="35" t="inlineStr">
        <is>
          <t>Email attestation</t>
        </is>
      </c>
      <c r="G14" s="35" t="inlineStr">
        <is>
          <t>08/19/2026 – Maria Teresa (Mayte) Del Cerro</t>
        </is>
      </c>
      <c r="H14" s="35" t="inlineStr">
        <is>
          <t>Senior Director of Operations returns the signed attestation – attachments: Data_Integrity_Attestation_Santander-BCiC.pdf (signed Maria Teresa Del Cerro Hontanilla, Director of Operations, 08/19/2026) and the BCiC export (same file as E16b).</t>
        </is>
      </c>
      <c r="I14" s="35" t="inlineStr">
        <is>
          <t>3299, 1903, 1937</t>
        </is>
      </c>
      <c r="J14" s="35" t="inlineStr">
        <is>
          <t>G, H, J, O</t>
        </is>
      </c>
      <c r="K14" s="35" t="n"/>
      <c r="L14" s="31" t="n"/>
    </row>
    <row r="15" ht="34.5" customHeight="1" s="73">
      <c r="A15" s="71" t="inlineStr">
        <is>
          <t>DMA06</t>
        </is>
      </c>
      <c r="B15" s="35" t="inlineStr">
        <is>
          <t>DMA06_RE_ Management Attestation – DIV – Trading &amp; Capital Markets (AIS, Portfolio Advisory, P&amp;I Tech) - Ricardo Garcia-Marques 08-18-2026.msg</t>
        </is>
      </c>
      <c r="C15" s="35" t="inlineStr">
        <is>
          <t>BSI.IT.6.C7.3-Evidences\03_DIV_Manager_Attestation_Email_Approvals</t>
        </is>
      </c>
      <c r="D15" s="35" t="inlineStr">
        <is>
          <t>RE_ Management Attestation – DIV Trading and Capital Markets.msg</t>
        </is>
      </c>
      <c r="E15" s="35" t="inlineStr">
        <is>
          <t>DIV Manager Attestation Email_Approvals.zip</t>
        </is>
      </c>
      <c r="F15" s="35" t="inlineStr">
        <is>
          <t>Email attestation</t>
        </is>
      </c>
      <c r="G15" s="35" t="inlineStr">
        <is>
          <t>08/18/2026 – Ricardo Garcia-Marques</t>
        </is>
      </c>
      <c r="H15" s="35" t="inlineStr">
        <is>
          <t>Attestation and approval from Trading &amp; Capital Markets (covers BCiC records approved by Ricardo Garcia) – attachment: Data_Integrity_Attestation_Santander-BCiC_signed.pdf (e-signed MD, Head of Trading &amp; Capital Markets, 08/18/2026 11:45 AM EDT).</t>
        </is>
      </c>
      <c r="I15" s="35" t="inlineStr">
        <is>
          <t>1937</t>
        </is>
      </c>
      <c r="J15" s="35" t="inlineStr">
        <is>
          <t>G, H, J, O</t>
        </is>
      </c>
      <c r="K15" s="35" t="n"/>
      <c r="L15" s="31" t="n"/>
    </row>
    <row r="16" ht="23" customHeight="1" s="73">
      <c r="A16" s="71" t="inlineStr">
        <is>
          <t>DMA07</t>
        </is>
      </c>
      <c r="B16" s="35" t="inlineStr">
        <is>
          <t>DMA07_RE_ Management Attestation – DIV – Treasury &amp; Capital Planning - Martha Sullivan 08-18-2026.msg</t>
        </is>
      </c>
      <c r="C16" s="35" t="inlineStr">
        <is>
          <t>BSI.IT.6.C7.3-Evidences\03_DIV_Manager_Attestation_Email_Approvals</t>
        </is>
      </c>
      <c r="D16" s="35" t="inlineStr">
        <is>
          <t>RE_ Management Attestation – DIV Treasury and Capital Planning.msg</t>
        </is>
      </c>
      <c r="E16" s="35" t="inlineStr">
        <is>
          <t>DIV Manager Attestation Email_Approvals.zip</t>
        </is>
      </c>
      <c r="F16" s="35" t="inlineStr">
        <is>
          <t>Email attestation</t>
        </is>
      </c>
      <c r="G16" s="35" t="inlineStr">
        <is>
          <t>08/18/2026 – Martha Sullivan</t>
        </is>
      </c>
      <c r="H16" s="35" t="inlineStr">
        <is>
          <t>Martha Sullivan returns the signed attestation – attachment: Data_Integrity_Attestation_Santander-BCiC.pdf (signed Balance Sheet Manager, Treasury).</t>
        </is>
      </c>
      <c r="I16" s="35" t="inlineStr">
        <is>
          <t>1937</t>
        </is>
      </c>
      <c r="J16" s="35" t="inlineStr">
        <is>
          <t>G, H, J, O</t>
        </is>
      </c>
      <c r="K16" s="35" t="n"/>
      <c r="L16" s="31" t="n"/>
    </row>
    <row r="17" ht="23" customHeight="1" s="73">
      <c r="A17" s="71" t="inlineStr">
        <is>
          <t>DMA08</t>
        </is>
      </c>
      <c r="B17" s="35" t="inlineStr">
        <is>
          <t>DMA08_RE_ Management Attestation – DIV – Solvency &amp; Market Risk (Financial Risk) - Ivan Caisapanta 08-18-2026.msg</t>
        </is>
      </c>
      <c r="C17" s="35" t="inlineStr">
        <is>
          <t>BSI.IT.6.C7.3-Evidences\03_DIV_Manager_Attestation_Email_Approvals</t>
        </is>
      </c>
      <c r="D17" s="35" t="inlineStr">
        <is>
          <t>RE_ Management Attestation – DIV Solvency and Market Risk.msg</t>
        </is>
      </c>
      <c r="E17" s="35" t="inlineStr">
        <is>
          <t>DIV Manager Attestation Email_Approvals.zip</t>
        </is>
      </c>
      <c r="F17" s="35" t="inlineStr">
        <is>
          <t>Email approval</t>
        </is>
      </c>
      <c r="G17" s="35" t="inlineStr">
        <is>
          <t>08/18/2026 – Ivan Caisapanta</t>
        </is>
      </c>
      <c r="H17" s="35" t="inlineStr">
        <is>
          <t>"Hi Elizabeth, You have my approval" – Financial Risk (BCiC Department Manager recorded as Xavier Caisapanta).</t>
        </is>
      </c>
      <c r="I17" s="35" t="inlineStr">
        <is>
          <t>1937</t>
        </is>
      </c>
      <c r="J17" s="35" t="inlineStr">
        <is>
          <t>G, H, J, O</t>
        </is>
      </c>
      <c r="K17" s="35" t="n"/>
      <c r="L17" s="31" t="n"/>
    </row>
    <row r="18" ht="23" customHeight="1" s="73">
      <c r="A18" s="71" t="inlineStr">
        <is>
          <t>DMA09</t>
        </is>
      </c>
      <c r="B18" s="35" t="inlineStr">
        <is>
          <t>DMA09_RE_ Management Attestation – DIV – General Services (Marketing &amp; General Services) - Clara De Castro 08-18-2026.msg</t>
        </is>
      </c>
      <c r="C18" s="35" t="inlineStr">
        <is>
          <t>BSI.IT.6.C7.3-Evidences\03_DIV_Manager_Attestation_Email_Approvals</t>
        </is>
      </c>
      <c r="D18" s="35" t="inlineStr">
        <is>
          <t>RE_ Management Attestation – DIV General Services.msg</t>
        </is>
      </c>
      <c r="E18" s="35" t="inlineStr">
        <is>
          <t>DIV Manager Attestation Email_Approvals.zip</t>
        </is>
      </c>
      <c r="F18" s="35" t="inlineStr">
        <is>
          <t>Email attestation</t>
        </is>
      </c>
      <c r="G18" s="35" t="inlineStr">
        <is>
          <t>08/18/2026 – Clara G. De Castro</t>
        </is>
      </c>
      <c r="H18" s="35" t="inlineStr">
        <is>
          <t>Clara De Castro (Director, General Services &amp; Facilities) returns the signed attestation – attachment: Data_Integrity_Attestation_Santander-BCiC.pdf (signed Clara G. De Castro).</t>
        </is>
      </c>
      <c r="I18" s="35" t="inlineStr">
        <is>
          <t>1937</t>
        </is>
      </c>
      <c r="J18" s="35" t="inlineStr">
        <is>
          <t>G, H, J, O</t>
        </is>
      </c>
      <c r="K18" s="35" t="n"/>
      <c r="L18" s="31" t="n"/>
    </row>
    <row r="19" ht="23" customHeight="1" s="73">
      <c r="A19" s="71" t="inlineStr">
        <is>
          <t>DMA10</t>
        </is>
      </c>
      <c r="B19" s="35" t="inlineStr">
        <is>
          <t>DMA10_RE_ Management Attestation – DIV – Digital Wealth - Victoria Fernandez 08-21-2026.eml</t>
        </is>
      </c>
      <c r="C19" s="35" t="inlineStr">
        <is>
          <t>BSI.IT.6.C7.3-Evidences\03_DIV_Manager_Attestation_Email_Approvals</t>
        </is>
      </c>
      <c r="D19" s="35" t="inlineStr">
        <is>
          <t>RE Management Attestation – Data Integrity Validation Testing (November 2025 &amp; February 2026 Exercises).eml</t>
        </is>
      </c>
      <c r="E19" s="35" t="inlineStr">
        <is>
          <t>DIV Manager Attestation Email_Approvals.zip</t>
        </is>
      </c>
      <c r="F19" s="35" t="inlineStr">
        <is>
          <t>Email approval</t>
        </is>
      </c>
      <c r="G19" s="35" t="inlineStr">
        <is>
          <t>08/21/2026 – Victoria Fernandez</t>
        </is>
      </c>
      <c r="H19" s="35" t="inlineStr">
        <is>
          <t>"Approved" – Digital Wealth.</t>
        </is>
      </c>
      <c r="I19" s="35" t="inlineStr">
        <is>
          <t>1937</t>
        </is>
      </c>
      <c r="J19" s="35" t="inlineStr">
        <is>
          <t>G, H, J, O</t>
        </is>
      </c>
      <c r="K19" s="35" t="n"/>
      <c r="L19" s="31" t="n"/>
    </row>
    <row r="20" ht="23" customHeight="1" s="73">
      <c r="A20" s="71" t="inlineStr">
        <is>
          <t>DMA11</t>
        </is>
      </c>
      <c r="B20" s="35" t="inlineStr">
        <is>
          <t>DMA11_RE_ Management Attestation – DIV – Commercial Middle Office - Miguel Orozco 09-09-2026.eml</t>
        </is>
      </c>
      <c r="C20" s="35" t="inlineStr">
        <is>
          <t>BSI.IT.6.C7.3-Evidences\03_DIV_Manager_Attestation_Email_Approvals</t>
        </is>
      </c>
      <c r="D20" s="35" t="inlineStr">
        <is>
          <t>RE Management Attestation – DIV Commercial Middle Office.eml</t>
        </is>
      </c>
      <c r="E20" s="35" t="inlineStr">
        <is>
          <t>DIV Manager Attestation Email_Approvals.zip</t>
        </is>
      </c>
      <c r="F20" s="35" t="inlineStr">
        <is>
          <t>Email approval</t>
        </is>
      </c>
      <c r="G20" s="35" t="inlineStr">
        <is>
          <t>09/09/2026 – Miguel Orozco</t>
        </is>
      </c>
      <c r="H20" s="35" t="inlineStr">
        <is>
          <t>"I approve the integrity validation for the testing performed by the Commercial Middle Office."</t>
        </is>
      </c>
      <c r="I20" s="35" t="inlineStr">
        <is>
          <t>3299, 1937</t>
        </is>
      </c>
      <c r="J20" s="35" t="inlineStr">
        <is>
          <t>G, H, J, O</t>
        </is>
      </c>
      <c r="K20" s="35" t="n"/>
      <c r="L20" s="31" t="n"/>
    </row>
    <row r="21" ht="23" customHeight="1" s="73">
      <c r="A21" s="71" t="inlineStr">
        <is>
          <t>DMA12</t>
        </is>
      </c>
      <c r="B21" s="35" t="inlineStr">
        <is>
          <t>DMA12_RE_ Management Attestation – DIV – Client Servicing Unit - Liliana Vizhnay 09-09-2026.eml</t>
        </is>
      </c>
      <c r="C21" s="35" t="inlineStr">
        <is>
          <t>BSI.IT.6.C7.3-Evidences\03_DIV_Manager_Attestation_Email_Approvals</t>
        </is>
      </c>
      <c r="D21" s="35" t="inlineStr">
        <is>
          <t>RE Management Attestation – DIV Client Servicing Unit.eml</t>
        </is>
      </c>
      <c r="E21" s="35" t="inlineStr">
        <is>
          <t>DIV Manager Attestation Email_Approvals.zip</t>
        </is>
      </c>
      <c r="F21" s="35" t="inlineStr">
        <is>
          <t>Email approval</t>
        </is>
      </c>
      <c r="G21" s="35" t="inlineStr">
        <is>
          <t>09/09/2026 – Liliana Vizhnay</t>
        </is>
      </c>
      <c r="H21" s="35" t="inlineStr">
        <is>
          <t>"I approve." – Client Servicing Unit.</t>
        </is>
      </c>
      <c r="I21" s="35" t="inlineStr">
        <is>
          <t>1937</t>
        </is>
      </c>
      <c r="J21" s="35" t="inlineStr">
        <is>
          <t>G, H, J, O</t>
        </is>
      </c>
      <c r="K21" s="35" t="n"/>
      <c r="L21" s="31" t="n"/>
    </row>
    <row r="22" ht="23" customHeight="1" s="73">
      <c r="A22" s="71" t="inlineStr">
        <is>
          <t>DMA13</t>
        </is>
      </c>
      <c r="B22" s="35" t="inlineStr">
        <is>
          <t>DMA13_RE_ Management Attestation – DIV – IT Unified Communication - Cisco Call Manager - Elizabeth Noda 09-09-2026 (out of scope).eml</t>
        </is>
      </c>
      <c r="C22" s="35" t="inlineStr">
        <is>
          <t>BSI.IT.6.C7.3-Evidences\03_DIV_Manager_Attestation_Email_Approvals</t>
        </is>
      </c>
      <c r="D22" s="35" t="inlineStr">
        <is>
          <t>RE Management Attestation – DIV Unified Communication - Cisco Call Manager.eml</t>
        </is>
      </c>
      <c r="E22" s="35" t="inlineStr">
        <is>
          <t>DIV Manager Attestation Email_Approvals.zip</t>
        </is>
      </c>
      <c r="F22" s="35" t="inlineStr">
        <is>
          <t>Email approval</t>
        </is>
      </c>
      <c r="G22" s="35" t="inlineStr">
        <is>
          <t>09/09/2026 – Elizabeth Noda</t>
        </is>
      </c>
      <c r="H22" s="35" t="inlineStr">
        <is>
          <t>"approve" – Cisco Call Manager (IT). Cisco Call Manager is NOT one of the 10 tested applications – retained for completeness only.</t>
        </is>
      </c>
      <c r="I22" s="35" t="inlineStr">
        <is>
          <t>—</t>
        </is>
      </c>
      <c r="J22" s="35" t="inlineStr">
        <is>
          <t>Supplemental</t>
        </is>
      </c>
      <c r="K22" s="35" t="n"/>
      <c r="L22" s="31" t="n"/>
    </row>
    <row r="23" ht="23" customHeight="1" s="73">
      <c r="A23" s="71" t="inlineStr">
        <is>
          <t>E01</t>
        </is>
      </c>
      <c r="B23" s="35" t="inlineStr">
        <is>
          <t>BSI.IT.6.C7.3_E01_Applications In Scope for DR Test BSI (13).xlsx</t>
        </is>
      </c>
      <c r="C23" s="35" t="inlineStr">
        <is>
          <t>BSI.IT.6.C7.3-Evidences\04_Data_Integrity_and_Email_Testing_Evidence</t>
        </is>
      </c>
      <c r="D23" s="35" t="inlineStr">
        <is>
          <t>Applications In Scope for DR Test BSI (13).xlsx</t>
        </is>
      </c>
      <c r="E23" s="35" t="inlineStr">
        <is>
          <t>Data Integrity &amp; Email Testing Evidence.zip</t>
        </is>
      </c>
      <c r="F23" s="35" t="inlineStr">
        <is>
          <t>BCiC export</t>
        </is>
      </c>
      <c r="G23" s="35" t="inlineStr">
        <is>
          <t>BCiC – Applications In Scope for DR Test BSI</t>
        </is>
      </c>
      <c r="H23" s="35" t="inlineStr">
        <is>
          <t>BCiC export of the BSI DR-scope population (43 applications) with Exercise Date and 2025 DR / Backup-Restore / DIV scope flags.</t>
        </is>
      </c>
      <c r="I23" s="35" t="inlineStr">
        <is>
          <t>1822, 1867, 1868, 3299, 4052, 3301, 1903, 1917, 1936, 1937</t>
        </is>
      </c>
      <c r="J23" s="35" t="inlineStr">
        <is>
          <t>B, C, D, K, L, N</t>
        </is>
      </c>
      <c r="K23" s="35" t="n"/>
      <c r="L23" s="31" t="n"/>
    </row>
    <row r="24" ht="23" customHeight="1" s="73">
      <c r="A24" s="71" t="inlineStr">
        <is>
          <t>E02</t>
        </is>
      </c>
      <c r="B24" s="35" t="inlineStr">
        <is>
          <t>BSI.IT.6.C7.3_E02_screenshot BCiC apps in scope for DR Testing.jpg</t>
        </is>
      </c>
      <c r="C24" s="35" t="inlineStr">
        <is>
          <t>BSI.IT.6.C7.3-Evidences\04_Data_Integrity_and_Email_Testing_Evidence</t>
        </is>
      </c>
      <c r="D24" s="35" t="inlineStr">
        <is>
          <t>screenshot BCiC apps in scope for DR Testing.jpg</t>
        </is>
      </c>
      <c r="E24" s="35" t="inlineStr">
        <is>
          <t>Data Integrity &amp; Email Testing Evidence.zip</t>
        </is>
      </c>
      <c r="F24" s="35" t="inlineStr">
        <is>
          <t>BCiC screenshot</t>
        </is>
      </c>
      <c r="G24" s="35" t="inlineStr">
        <is>
          <t>09/10/2026 – Cesar Vidal</t>
        </is>
      </c>
      <c r="H24" s="35" t="inlineStr">
        <is>
          <t>BCiC Applications screen with view 'Applications In Scope for DR Test BSI' selected (1–20 of 43 items).</t>
        </is>
      </c>
      <c r="I24" s="35" t="inlineStr">
        <is>
          <t>1822, 1867, 1868, 3299, 4052, 3301, 1903, 1917, 1936, 1937</t>
        </is>
      </c>
      <c r="J24" s="35" t="inlineStr">
        <is>
          <t>D, K, N</t>
        </is>
      </c>
      <c r="K24" s="35" t="n"/>
      <c r="L24" s="31" t="n"/>
    </row>
    <row r="25" ht="23" customHeight="1" s="73">
      <c r="A25" s="71" t="inlineStr">
        <is>
          <t>E03</t>
        </is>
      </c>
      <c r="B25" s="35" t="inlineStr">
        <is>
          <t>BSI.IT.6.C7.3_E03_All Data Integrity Validation Testing_FV.xls</t>
        </is>
      </c>
      <c r="C25" s="35" t="inlineStr">
        <is>
          <t>BSI.IT.6.C7.3-Evidences\04_Data_Integrity_and_Email_Testing_Evidence</t>
        </is>
      </c>
      <c r="D25" s="35" t="inlineStr">
        <is>
          <t>All Data Integrity Validation Testing_FV.xls</t>
        </is>
      </c>
      <c r="E25" s="35" t="inlineStr">
        <is>
          <t>Data Integrity &amp; Email Testing Evidence.zip</t>
        </is>
      </c>
      <c r="F25" s="35" t="inlineStr">
        <is>
          <t>BCiC export</t>
        </is>
      </c>
      <c r="G25" s="35" t="inlineStr">
        <is>
          <t>BCiC – Data Integrity Validation Testing (62 records)</t>
        </is>
      </c>
      <c r="H25" s="35" t="inlineStr">
        <is>
          <t>BCiC DIV export incl. Business Tester, Business Data Validation Date, Department Manager, Department Manager Approval Date, Y/N Format/Headers/Content, Attestation Date / Provided By. Row numbers quoted are Excel rows.</t>
        </is>
      </c>
      <c r="I25" s="35" t="inlineStr">
        <is>
          <t>1822, 1867, 1868, 3299, 4052, 3301, 1903, 1917, 1936, 1937</t>
        </is>
      </c>
      <c r="J25" s="35" t="inlineStr">
        <is>
          <t>B, C, D, E, F, G, H, I, K, L, M, O, P</t>
        </is>
      </c>
      <c r="K25" s="35" t="n"/>
      <c r="L25" s="31" t="n"/>
    </row>
    <row r="26" ht="62.5" customHeight="1" s="73">
      <c r="A26" s="71" t="inlineStr">
        <is>
          <t>E04</t>
        </is>
      </c>
      <c r="B26" s="35" t="inlineStr">
        <is>
          <t>BSI.IT.6.C7.3_E04_BCiC_Screenshot for Data Integrity Validation report.jpg</t>
        </is>
      </c>
      <c r="C26" s="35" t="inlineStr">
        <is>
          <t>BSI.IT.6.C7.3-Evidences\04_Data_Integrity_and_Email_Testing_Evidence</t>
        </is>
      </c>
      <c r="D26" s="35" t="inlineStr">
        <is>
          <t>BCiC_Screenshot for Data Integrity Validation report.jpg</t>
        </is>
      </c>
      <c r="E26" s="35" t="inlineStr">
        <is>
          <t>Data Integrity &amp; Email Testing Evidence.zip</t>
        </is>
      </c>
      <c r="F26" s="35" t="inlineStr">
        <is>
          <t>BCiC screenshot</t>
        </is>
      </c>
      <c r="G26" s="35" t="inlineStr">
        <is>
          <t>09/10/2026 – Cesar Vidal</t>
        </is>
      </c>
      <c r="H26" s="35" t="inlineStr">
        <is>
          <t>BCiC 'Data Integrity Validation Testing' screen (1–20 of 66 items) showing tester, validation date, manager, approval date, Y/N results and attestation fields.</t>
        </is>
      </c>
      <c r="I26" s="35" t="inlineStr">
        <is>
          <t>1822, 1867, 1868, 3299, 4052, 3301, 1903, 1917, 1936, 1937</t>
        </is>
      </c>
      <c r="J26" s="35" t="inlineStr">
        <is>
          <t>D, E, F, G, H, K, P</t>
        </is>
      </c>
      <c r="K26" s="35" t="n"/>
      <c r="L26" s="31" t="n"/>
    </row>
    <row r="27" ht="50" customHeight="1" s="73">
      <c r="A27" s="71" t="inlineStr">
        <is>
          <t>E05</t>
        </is>
      </c>
      <c r="B27" s="35" t="inlineStr">
        <is>
          <t>BSI.IT.6.C7.3_E05_IT BIA Results Review and preparation for DR .msg</t>
        </is>
      </c>
      <c r="C27" s="35" t="inlineStr">
        <is>
          <t>BSI.IT.6.C7.3-Evidences\04_Data_Integrity_and_Email_Testing_Evidence</t>
        </is>
      </c>
      <c r="D27" s="35" t="inlineStr">
        <is>
          <t>IT BIA Results Review and preparation for DR .msg</t>
        </is>
      </c>
      <c r="E27" s="35" t="inlineStr">
        <is>
          <t>Data Integrity &amp; Email Testing Evidence.zip</t>
        </is>
      </c>
      <c r="F27" s="35" t="inlineStr">
        <is>
          <t>Meeting invite</t>
        </is>
      </c>
      <c r="G27" s="35" t="inlineStr">
        <is>
          <t>09/15/2025 – Elizabeth Noda</t>
        </is>
      </c>
      <c r="H27" s="35" t="inlineStr">
        <is>
          <t>IT DR meeting invite to review the 2025 BIA results and applications list ahead of the DR exercise (same invite re-sent 09/18/2025 – duplicate E06 removed).</t>
        </is>
      </c>
      <c r="I27" s="35" t="inlineStr">
        <is>
          <t>1822, 1867, 1868, 3299, 4052, 3301, 1903, 1917, 1936, 1937</t>
        </is>
      </c>
      <c r="J27" s="35" t="inlineStr">
        <is>
          <t>M, N</t>
        </is>
      </c>
      <c r="K27" s="35" t="n"/>
      <c r="L27" s="31" t="n"/>
    </row>
    <row r="28" ht="325" customHeight="1" s="73">
      <c r="A28" s="71" t="inlineStr">
        <is>
          <t>E07</t>
        </is>
      </c>
      <c r="B28" s="35" t="inlineStr">
        <is>
          <t>BSI.IT.6.C7.3_E07_DATA INTERITY FILS FROM 111425.msg</t>
        </is>
      </c>
      <c r="C28" s="35" t="inlineStr">
        <is>
          <t>BSI.IT.6.C7.3-Evidences\04_Data_Integrity_and_Email_Testing_Evidence</t>
        </is>
      </c>
      <c r="D28" s="35" t="inlineStr">
        <is>
          <t>DATA INTERITY FILS FROM 111425.msg</t>
        </is>
      </c>
      <c r="E28" s="35" t="inlineStr">
        <is>
          <t>Data Integrity &amp; Email Testing Evidence.zip</t>
        </is>
      </c>
      <c r="F28" s="35" t="inlineStr">
        <is>
          <t>Email + report attachments</t>
        </is>
      </c>
      <c r="G28" s="35" t="inlineStr">
        <is>
          <t>11/15/2025 – Frank Puentes</t>
        </is>
      </c>
      <c r="H28" s="35"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35" t="inlineStr">
        <is>
          <t>3301, 1903, 1936, 1937</t>
        </is>
      </c>
      <c r="J28" s="35" t="inlineStr">
        <is>
          <t>F</t>
        </is>
      </c>
      <c r="K28" s="35" t="n"/>
      <c r="L28" s="31" t="n"/>
    </row>
    <row r="29" ht="325" customHeight="1" s="73">
      <c r="A29" s="71" t="inlineStr">
        <is>
          <t>E08</t>
        </is>
      </c>
      <c r="B29" s="35" t="inlineStr">
        <is>
          <t>BSI.IT.6.C7.3_E08_FILES FROM 111525 DR TEST - DATA COMPARISON FROM 111425.msg</t>
        </is>
      </c>
      <c r="C29" s="35" t="inlineStr">
        <is>
          <t>BSI.IT.6.C7.3-Evidences\04_Data_Integrity_and_Email_Testing_Evidence</t>
        </is>
      </c>
      <c r="D29" s="35" t="inlineStr">
        <is>
          <t>FILES FROM 111525 DR TEST - DATA COMPARISON FROM 111425.msg</t>
        </is>
      </c>
      <c r="E29" s="35" t="inlineStr">
        <is>
          <t>Data Integrity &amp; Email Testing Evidence.zip</t>
        </is>
      </c>
      <c r="F29" s="35" t="inlineStr">
        <is>
          <t>Email + report attachments</t>
        </is>
      </c>
      <c r="G29" s="35" t="inlineStr">
        <is>
          <t>11/15/2025 – Frank Puentes</t>
        </is>
      </c>
      <c r="H29" s="35"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35" t="inlineStr">
        <is>
          <t>3301, 1903, 1936, 1937</t>
        </is>
      </c>
      <c r="J29" s="35" t="inlineStr">
        <is>
          <t>F, M</t>
        </is>
      </c>
      <c r="K29" s="35" t="n"/>
      <c r="L29" s="31" t="n"/>
    </row>
    <row r="30" ht="87.5" customHeight="1" s="73">
      <c r="A30" s="71" t="inlineStr">
        <is>
          <t>E09</t>
        </is>
      </c>
      <c r="B30" s="35" t="inlineStr">
        <is>
          <t>BSI.IT.6.C7.3_E09_RE_ Yearly Backup and restore exercise- client back office sign off-ACH,ACH Express, FedExport, FedImport,Imagi.msg</t>
        </is>
      </c>
      <c r="C30" s="35" t="inlineStr">
        <is>
          <t>BSI.IT.6.C7.3-Evidences\04_Data_Integrity_and_Email_Testing_Evidence</t>
        </is>
      </c>
      <c r="D30" s="35" t="inlineStr">
        <is>
          <t>RE_ Yearly Backup and restore exercise (Client Back Office)</t>
        </is>
      </c>
      <c r="E30" s="35" t="inlineStr">
        <is>
          <t>Data Integrity &amp; Email Testing Evidence.zip</t>
        </is>
      </c>
      <c r="F30" s="35" t="inlineStr">
        <is>
          <t>Email approval</t>
        </is>
      </c>
      <c r="G30" s="35" t="inlineStr">
        <is>
          <t>03/03/2026 – 05/05/2026 – Claudia Romero</t>
        </is>
      </c>
      <c r="H30" s="35" t="inlineStr">
        <is>
          <t>Client Back Office test evidence (Mariorly Morales, Ilumel Rodriguez, Rolando Bonilla) and Claudia Romero "Approved." 05/05/2026. Thread maps ACH Express, FedExport, FedImport, Imaging101 to Client Back Office / Claudia Romero.</t>
        </is>
      </c>
      <c r="I30" s="35" t="inlineStr">
        <is>
          <t>1822, 1867, 1868, 3299, 1937</t>
        </is>
      </c>
      <c r="J30" s="35" t="inlineStr">
        <is>
          <t>E, G, H, J, M, N, O</t>
        </is>
      </c>
      <c r="K30" s="35" t="n"/>
      <c r="L30" s="31" t="n"/>
    </row>
    <row r="31" ht="37.5" customHeight="1" s="73">
      <c r="A31" s="71" t="inlineStr">
        <is>
          <t>E10</t>
        </is>
      </c>
      <c r="B31" s="35" t="inlineStr">
        <is>
          <t>BSI.IT.6.C7.3_E10_RE_ Yearly Backup and restore exercise-- re-run- Finance approval-T24-ReconXpert.msg</t>
        </is>
      </c>
      <c r="C31" s="35" t="inlineStr">
        <is>
          <t>BSI.IT.6.C7.3-Evidences\04_Data_Integrity_and_Email_Testing_Evidence</t>
        </is>
      </c>
      <c r="D31" s="35" t="inlineStr">
        <is>
          <t>RE_ Yearly Backup and restore exercise-- re-run (Finance)</t>
        </is>
      </c>
      <c r="E31" s="35" t="inlineStr">
        <is>
          <t>Data Integrity &amp; Email Testing Evidence.zip</t>
        </is>
      </c>
      <c r="F31" s="35" t="inlineStr">
        <is>
          <t>Email approval</t>
        </is>
      </c>
      <c r="G31" s="35" t="inlineStr">
        <is>
          <t>03/09/2026 – Lina Acuna</t>
        </is>
      </c>
      <c r="H31" s="35" t="inlineStr">
        <is>
          <t>Finance DIV results chart (Jose Acero) and Lina Acuna "Approved" 03/09/2026 (T24 / ReconXpert backup-restore).</t>
        </is>
      </c>
      <c r="I31" s="35" t="inlineStr">
        <is>
          <t>1917, 1937</t>
        </is>
      </c>
      <c r="J31" s="35" t="inlineStr">
        <is>
          <t>M</t>
        </is>
      </c>
      <c r="K31" s="35" t="n"/>
      <c r="L31" s="31" t="n"/>
    </row>
    <row r="32" ht="37.5" customHeight="1" s="73">
      <c r="A32" s="71" t="inlineStr">
        <is>
          <t>E13</t>
        </is>
      </c>
      <c r="B32" s="35" t="inlineStr">
        <is>
          <t>BSI.IT.6.C7.3_E13_miasx2 T24 environment(s)  miaeod miabed01 refreshed correctly.msg</t>
        </is>
      </c>
      <c r="C32" s="35" t="inlineStr">
        <is>
          <t>BSI.IT.6.C7.3-Evidences\04_Data_Integrity_and_Email_Testing_Evidence</t>
        </is>
      </c>
      <c r="D32" s="35" t="inlineStr">
        <is>
          <t>miasx2 T24 environment(s) miaeod miabed01 refreshed correctly.msg</t>
        </is>
      </c>
      <c r="E32" s="35" t="inlineStr">
        <is>
          <t>Data Integrity &amp; Email Testing Evidence.zip</t>
        </is>
      </c>
      <c r="F32" s="35" t="inlineStr">
        <is>
          <t>System email</t>
        </is>
      </c>
      <c r="G32" s="35" t="inlineStr">
        <is>
          <t>11/13/2024 – T24 backup user</t>
        </is>
      </c>
      <c r="H32" s="35" t="inlineStr">
        <is>
          <t>T24 environment refresh log – prior period (outside review period); supplemental only.</t>
        </is>
      </c>
      <c r="I32" s="35" t="inlineStr">
        <is>
          <t>—</t>
        </is>
      </c>
      <c r="J32" s="35" t="inlineStr">
        <is>
          <t>Supplemental</t>
        </is>
      </c>
      <c r="K32" s="35" t="n"/>
      <c r="L32" s="31" t="n"/>
    </row>
    <row r="33" ht="62.5" customHeight="1" s="73">
      <c r="A33" s="71" t="inlineStr">
        <is>
          <t>E16b</t>
        </is>
      </c>
      <c r="B33" s="35" t="inlineStr">
        <is>
          <t>BSI.IT.6.C7.3_E16b_All Data Integrity Validation Testing-BSI 2025-26.xlsx</t>
        </is>
      </c>
      <c r="C33" s="35" t="inlineStr">
        <is>
          <t>BSI.IT.6.C7.3-Evidences\04_Data_Integrity_and_Email_Testing_Evidence</t>
        </is>
      </c>
      <c r="D33" s="35" t="inlineStr">
        <is>
          <t>All Data Integrity Validation Testing-BSI 2025-26.xlsx (attachment of DMA05 email)</t>
        </is>
      </c>
      <c r="E33" s="35" t="inlineStr">
        <is>
          <t>Data Integrity &amp; Email Testing Evidence.zip</t>
        </is>
      </c>
      <c r="F33" s="35" t="inlineStr">
        <is>
          <t>BCiC export</t>
        </is>
      </c>
      <c r="G33" s="35" t="inlineStr">
        <is>
          <t>08/2026 – BCiC export sent with attestation request</t>
        </is>
      </c>
      <c r="H33" s="35" t="inlineStr">
        <is>
          <t>BCiC DIV export 2025-26 (64 rows; no manager columns) sent to managers with the attestation request and returned by M. T. Del Cerro (DMA05). Row numbers are Excel rows.</t>
        </is>
      </c>
      <c r="I33" s="35" t="inlineStr">
        <is>
          <t>1822, 1867, 1868, 3299, 4052, 3301, 1903, 1917, 1936, 1937</t>
        </is>
      </c>
      <c r="J33" s="35" t="inlineStr">
        <is>
          <t>B, D, E, F, I, K, P</t>
        </is>
      </c>
      <c r="K33" s="35" t="n"/>
      <c r="L33" s="31" t="n"/>
    </row>
    <row r="34">
      <c r="A34" s="31" t="n"/>
      <c r="B34" s="31" t="n"/>
      <c r="C34" s="31" t="n"/>
      <c r="D34" s="31" t="n"/>
      <c r="E34" s="31" t="n"/>
      <c r="F34" s="31" t="n"/>
      <c r="G34" s="31" t="n"/>
      <c r="H34" s="31" t="n"/>
      <c r="I34" s="31" t="n"/>
      <c r="J34" s="31" t="n"/>
      <c r="K34" s="31" t="n"/>
      <c r="L34" s="31" t="n"/>
    </row>
    <row r="35" ht="17.5" customHeight="1" s="73">
      <c r="A35" s="36" t="inlineStr">
        <is>
          <t>Redundant files removed from the repository (one copy of each item retained)</t>
        </is>
      </c>
      <c r="B35" s="31" t="n"/>
      <c r="C35" s="31" t="n"/>
      <c r="D35" s="31" t="n"/>
      <c r="E35" s="31" t="n"/>
      <c r="F35" s="31" t="n"/>
      <c r="G35" s="31" t="n"/>
      <c r="H35" s="31" t="n"/>
      <c r="I35" s="31" t="n"/>
      <c r="J35" s="31" t="n"/>
      <c r="K35" s="31" t="n"/>
      <c r="L35" s="31" t="n"/>
    </row>
    <row r="36">
      <c r="A36" s="32" t="inlineStr">
        <is>
          <t>Removed item</t>
        </is>
      </c>
      <c r="B36" s="32" t="inlineStr">
        <is>
          <t>Former location</t>
        </is>
      </c>
      <c r="C36" s="32" t="inlineStr">
        <is>
          <t>Retained ref</t>
        </is>
      </c>
      <c r="D36" s="32" t="inlineStr">
        <is>
          <t>Retained file location</t>
        </is>
      </c>
      <c r="E36" s="32" t="inlineStr">
        <is>
          <t>Reason</t>
        </is>
      </c>
      <c r="F36" s="31" t="n"/>
      <c r="G36" s="31" t="n"/>
      <c r="H36" s="31" t="n"/>
      <c r="I36" s="31" t="n"/>
      <c r="J36" s="31" t="n"/>
      <c r="K36" s="31" t="n"/>
      <c r="L36" s="31" t="n"/>
    </row>
    <row r="37" ht="62.5" customHeight="1" s="73">
      <c r="A37" s="35" t="inlineStr">
        <is>
          <t>MA02</t>
        </is>
      </c>
      <c r="B37" s="35" t="inlineStr">
        <is>
          <t>BSI.IT.6.C7.3-Evidences\01_Management_Attestation_In-Scope_Applications\MA02_RE_ Management Attestation – DIV Testing (Nov 2025 &amp; Feb 2026) – Payments &amp; Cash Management – Frank Puentes 08-18-2026.msg</t>
        </is>
      </c>
      <c r="C37" s="35" t="inlineStr">
        <is>
          <t>DMA03</t>
        </is>
      </c>
      <c r="D37" s="35" t="inlineStr">
        <is>
          <t>BSI.IT.6.C7.3-Evidences\03_DIV_Manager_Attestation_Email_Approvals\DMA03_RE_ Management Attestation – DIV – Payments &amp; Cash Management - Frank Puentes 08-18-2026.msg</t>
        </is>
      </c>
      <c r="E37" s="35" t="inlineStr">
        <is>
          <t>same email message (subject, sent 08/18/2026 14:50, attachment 4069_001.pdf)</t>
        </is>
      </c>
      <c r="F37" s="31" t="n"/>
      <c r="G37" s="31" t="n"/>
      <c r="H37" s="31" t="n"/>
      <c r="I37" s="31" t="n"/>
      <c r="J37" s="31" t="n"/>
      <c r="K37" s="31" t="n"/>
      <c r="L37" s="31" t="n"/>
    </row>
    <row r="38" ht="50" customHeight="1" s="73">
      <c r="A38" s="35" t="inlineStr">
        <is>
          <t>DMA05b</t>
        </is>
      </c>
      <c r="B38" s="35" t="inlineStr">
        <is>
          <t>BSI.IT.6.C7.3-Evidences\03_DIV_Manager_Attestation_Email_Approvals\Signed_Attestations_extracted\DMA05b_Operations (Governance &amp; Static Data, Multi-Family Office) - All Data Integrity Validation Testing-BSI 2025-26.xlsx</t>
        </is>
      </c>
      <c r="C38" s="35" t="inlineStr">
        <is>
          <t>E16b</t>
        </is>
      </c>
      <c r="D38" s="35" t="inlineStr">
        <is>
          <t>BSI.IT.6.C7.3-Evidences\04_Data_Integrity_and_Email_Testing_Evidence\BSI.IT.6.C7.3_E16b_All Data Integrity Validation Testing-BSI 2025-26.xlsx</t>
        </is>
      </c>
      <c r="E38" s="35" t="inlineStr">
        <is>
          <t>byte-identical file (MD5 match)</t>
        </is>
      </c>
      <c r="F38" s="31" t="n"/>
      <c r="G38" s="31" t="n"/>
      <c r="H38" s="31" t="n"/>
      <c r="I38" s="31" t="n"/>
      <c r="J38" s="31" t="n"/>
      <c r="K38" s="31" t="n"/>
      <c r="L38" s="31" t="n"/>
    </row>
    <row r="39" ht="62.5" customHeight="1" s="73">
      <c r="A39" s="35" t="inlineStr">
        <is>
          <t>E11</t>
        </is>
      </c>
      <c r="B39" s="35" t="inlineStr">
        <is>
          <t>BSI.IT.6.C7.3-Evidences\04_Data_Integrity_and_Email_Testing_Evidence\BSI.IT.6.C7.3_E11_BSI.IT.6.C7.3 Manager Approval.msg</t>
        </is>
      </c>
      <c r="C39" s="35" t="inlineStr">
        <is>
          <t>E10</t>
        </is>
      </c>
      <c r="D39" s="35" t="inlineStr">
        <is>
          <t>BSI.IT.6.C7.3-Evidences\04_Data_Integrity_and_Email_Testing_Evidence\BSI.IT.6.C7.3_E10_RE_ Yearly Backup and restore exercise-- re-run- Finance approval-T24-ReconXpert.msg</t>
        </is>
      </c>
      <c r="E39" s="35" t="inlineStr">
        <is>
          <t>same email message (sent 03/09/2026 18:43) saved twice</t>
        </is>
      </c>
      <c r="F39" s="31" t="n"/>
      <c r="G39" s="31" t="n"/>
      <c r="H39" s="31" t="n"/>
      <c r="I39" s="31" t="n"/>
      <c r="J39" s="31" t="n"/>
      <c r="K39" s="31" t="n"/>
      <c r="L39" s="31" t="n"/>
    </row>
    <row r="40" ht="62.5" customHeight="1" s="73">
      <c r="A40" s="35" t="inlineStr">
        <is>
          <t>E12</t>
        </is>
      </c>
      <c r="B40" s="35" t="inlineStr">
        <is>
          <t>BSI.IT.6.C7.3-Evidences\04_Data_Integrity_and_Email_Testing_Evidence\BSI.IT.6.C7.3_E12_RE_ Testing enviroment Financial Analysis manager approval.msg</t>
        </is>
      </c>
      <c r="C40" s="35" t="inlineStr">
        <is>
          <t>BLA06</t>
        </is>
      </c>
      <c r="D40" s="35" t="inlineStr">
        <is>
          <t>BSI.IT.6.C7.3-Evidences\02_Business_Line_Approval_Results_Email\BLA06_RE_ Testing enviroment - Financial Analysis Manager Approval - Sadis Alvarenga 01-26-2026.msg</t>
        </is>
      </c>
      <c r="E40" s="35" t="inlineStr">
        <is>
          <t>same email message (sent 01/26/2026 20:43)</t>
        </is>
      </c>
      <c r="F40" s="31" t="n"/>
      <c r="G40" s="31" t="n"/>
      <c r="H40" s="31" t="n"/>
      <c r="I40" s="31" t="n"/>
      <c r="J40" s="31" t="n"/>
      <c r="K40" s="31" t="n"/>
      <c r="L40" s="31" t="n"/>
    </row>
    <row r="41" ht="62.5" customHeight="1" s="73">
      <c r="A41" s="35" t="inlineStr">
        <is>
          <t>E14</t>
        </is>
      </c>
      <c r="B41" s="35" t="inlineStr">
        <is>
          <t>BSI.IT.6.C7.3-Evidences\04_Data_Integrity_and_Email_Testing_Evidence\BSI.IT.6.C7.3_E14_RE_ Management Attestation – Data Integrity Validation Testing (November 2025 &amp; February 2026 Exercises) (1).msg.eml</t>
        </is>
      </c>
      <c r="C41" s="35" t="inlineStr">
        <is>
          <t>DMA02</t>
        </is>
      </c>
      <c r="D41" s="35" t="inlineStr">
        <is>
          <t>BSI.IT.6.C7.3-Evidences\03_DIV_Manager_Attestation_Email_Approvals\DMA02_RE_ Management Attestation – DIV – BSA-AML-OFAC Compliance - David Marquez 08-19-2026.msg</t>
        </is>
      </c>
      <c r="E41" s="35" t="inlineStr">
        <is>
          <t>same email message saved as .eml</t>
        </is>
      </c>
      <c r="F41" s="31" t="n"/>
      <c r="G41" s="31" t="n"/>
      <c r="H41" s="31" t="n"/>
      <c r="I41" s="31" t="n"/>
      <c r="J41" s="31" t="n"/>
      <c r="K41" s="31" t="n"/>
      <c r="L41" s="31" t="n"/>
    </row>
    <row r="42" ht="62.5" customHeight="1" s="73">
      <c r="A42" s="35" t="inlineStr">
        <is>
          <t>E14a</t>
        </is>
      </c>
      <c r="B42" s="35" t="inlineStr">
        <is>
          <t>BSI.IT.6.C7.3-Evidences\04_Data_Integrity_and_Email_Testing_Evidence\BSI.IT.6.C7.3_E14a_Data_Integrity_Attestation_Santander-BCiC (005) - BSA-AML-OFAC Compliance.pdf</t>
        </is>
      </c>
      <c r="C42" s="35" t="inlineStr">
        <is>
          <t>DMA02</t>
        </is>
      </c>
      <c r="D42" s="35" t="inlineStr">
        <is>
          <t>BSI.IT.6.C7.3-Evidences\03_DIV_Manager_Attestation_Email_Approvals\DMA02_RE_ Management Attestation – DIV – BSA-AML-OFAC Compliance - David Marquez 08-19-2026.msg</t>
        </is>
      </c>
      <c r="E42" s="35" t="inlineStr">
        <is>
          <t>byte-identical file (MD5 match) – retained inside DMA02 (attachment)</t>
        </is>
      </c>
      <c r="F42" s="31" t="n"/>
      <c r="G42" s="31" t="n"/>
      <c r="H42" s="31" t="n"/>
      <c r="I42" s="31" t="n"/>
      <c r="J42" s="31" t="n"/>
      <c r="K42" s="31" t="n"/>
      <c r="L42" s="31" t="n"/>
    </row>
    <row r="43" ht="62.5" customHeight="1" s="73">
      <c r="A43" s="35" t="inlineStr">
        <is>
          <t>E15</t>
        </is>
      </c>
      <c r="B43" s="35" t="inlineStr">
        <is>
          <t>BSI.IT.6.C7.3-Evidences\04_Data_Integrity_and_Email_Testing_Evidence\BSI.IT.6.C7.3_E15_RE_ Management Attestation – Data Integrity Validation Testing (November 2025 &amp; February 2026 Exercises) 1 (1).msg.eml</t>
        </is>
      </c>
      <c r="C43" s="35" t="inlineStr">
        <is>
          <t>DMA04</t>
        </is>
      </c>
      <c r="D43" s="35" t="inlineStr">
        <is>
          <t>BSI.IT.6.C7.3-Evidences\03_DIV_Manager_Attestation_Email_Approvals\DMA04_RE_ Management Attestation – DIV – Investment Operations - Michelle Oropesa 08-17-2026.msg</t>
        </is>
      </c>
      <c r="E43" s="35" t="inlineStr">
        <is>
          <t>same email message saved as .eml</t>
        </is>
      </c>
      <c r="F43" s="31" t="n"/>
      <c r="G43" s="31" t="n"/>
      <c r="H43" s="31" t="n"/>
      <c r="I43" s="31" t="n"/>
      <c r="J43" s="31" t="n"/>
      <c r="K43" s="31" t="n"/>
      <c r="L43" s="31" t="n"/>
    </row>
    <row r="44" ht="62.5" customHeight="1" s="73">
      <c r="A44" s="35" t="inlineStr">
        <is>
          <t>E15a</t>
        </is>
      </c>
      <c r="B44" s="35" t="inlineStr">
        <is>
          <t>BSI.IT.6.C7.3-Evidences\04_Data_Integrity_and_Email_Testing_Evidence\BSI.IT.6.C7.3_E15a_Data_Integrity_Attestation_Santander-BCiC.pdf</t>
        </is>
      </c>
      <c r="C44" s="35" t="inlineStr">
        <is>
          <t>DMA04</t>
        </is>
      </c>
      <c r="D44" s="35" t="inlineStr">
        <is>
          <t>BSI.IT.6.C7.3-Evidences\03_DIV_Manager_Attestation_Email_Approvals\DMA04_RE_ Management Attestation – DIV – Investment Operations - Michelle Oropesa 08-17-2026.msg</t>
        </is>
      </c>
      <c r="E44" s="35" t="inlineStr">
        <is>
          <t>byte-identical file (MD5 match) – retained inside DMA04 (attachment)</t>
        </is>
      </c>
      <c r="F44" s="31" t="n"/>
      <c r="G44" s="31" t="n"/>
      <c r="H44" s="31" t="n"/>
      <c r="I44" s="31" t="n"/>
      <c r="J44" s="31" t="n"/>
      <c r="K44" s="31" t="n"/>
      <c r="L44" s="31" t="n"/>
    </row>
    <row r="45" ht="75" customHeight="1" s="73">
      <c r="A45" s="35" t="inlineStr">
        <is>
          <t>E16</t>
        </is>
      </c>
      <c r="B45" s="35" t="inlineStr">
        <is>
          <t>BSI.IT.6.C7.3-Evidences\04_Data_Integrity_and_Email_Testing_Evidence\BSI.IT.6.C7.3_E16_RE_ Management Attestation – Data Integrity Validation Testing (November 2025 &amp; February 2026 Exercises) 2 (1).msg.eml</t>
        </is>
      </c>
      <c r="C45" s="35" t="inlineStr">
        <is>
          <t>DMA05</t>
        </is>
      </c>
      <c r="D45" s="35" t="inlineStr">
        <is>
          <t>BSI.IT.6.C7.3-Evidences\03_DIV_Manager_Attestation_Email_Approvals\DMA05_RE_ Management Attestation – DIV – Operations (Governance &amp; Static Data, Multi-Family Office) - Maria Teresa Del Cerro 08-19-2026.msg</t>
        </is>
      </c>
      <c r="E45" s="35" t="inlineStr">
        <is>
          <t>same email message saved as .eml</t>
        </is>
      </c>
      <c r="F45" s="31" t="n"/>
      <c r="G45" s="31" t="n"/>
      <c r="H45" s="31" t="n"/>
      <c r="I45" s="31" t="n"/>
      <c r="J45" s="31" t="n"/>
      <c r="K45" s="31" t="n"/>
      <c r="L45" s="31" t="n"/>
    </row>
    <row r="46" ht="75" customHeight="1" s="73">
      <c r="A46" s="35" t="inlineStr">
        <is>
          <t>E16a</t>
        </is>
      </c>
      <c r="B46" s="35" t="inlineStr">
        <is>
          <t>BSI.IT.6.C7.3-Evidences\04_Data_Integrity_and_Email_Testing_Evidence\BSI.IT.6.C7.3_E16a_Data_Integrity_Attestation_Santander-BCiC.pdf</t>
        </is>
      </c>
      <c r="C46" s="35" t="inlineStr">
        <is>
          <t>DMA05</t>
        </is>
      </c>
      <c r="D46" s="35" t="inlineStr">
        <is>
          <t>BSI.IT.6.C7.3-Evidences\03_DIV_Manager_Attestation_Email_Approvals\DMA05_RE_ Management Attestation – DIV – Operations (Governance &amp; Static Data, Multi-Family Office) - Maria Teresa Del Cerro 08-19-2026.msg</t>
        </is>
      </c>
      <c r="E46" s="35" t="inlineStr">
        <is>
          <t>byte-identical file (MD5 match) – retained inside DMA05 (attachment)</t>
        </is>
      </c>
      <c r="F46" s="31" t="n"/>
      <c r="G46" s="31" t="n"/>
      <c r="H46" s="31" t="n"/>
      <c r="I46" s="31" t="n"/>
      <c r="J46" s="31" t="n"/>
      <c r="K46" s="31" t="n"/>
      <c r="L46" s="31" t="n"/>
    </row>
    <row r="47" ht="62.5" customHeight="1" s="73">
      <c r="A47" s="35" t="inlineStr">
        <is>
          <t>E17</t>
        </is>
      </c>
      <c r="B47" s="35" t="inlineStr">
        <is>
          <t>BSI.IT.6.C7.3-Evidences\04_Data_Integrity_and_Email_Testing_Evidence\BSI.IT.6.C7.3_E17_RE_ Management Attestation – Data Integrity Validation Testing (November 2025 &amp; February 2026 Exercises) 3 (1).msg.eml</t>
        </is>
      </c>
      <c r="C47" s="35" t="inlineStr">
        <is>
          <t>DMA03</t>
        </is>
      </c>
      <c r="D47" s="35" t="inlineStr">
        <is>
          <t>BSI.IT.6.C7.3-Evidences\03_DIV_Manager_Attestation_Email_Approvals\DMA03_RE_ Management Attestation – DIV – Payments &amp; Cash Management - Frank Puentes 08-18-2026.msg</t>
        </is>
      </c>
      <c r="E47" s="35" t="inlineStr">
        <is>
          <t>same email message saved as .eml</t>
        </is>
      </c>
      <c r="F47" s="31" t="n"/>
      <c r="G47" s="31" t="n"/>
      <c r="H47" s="31" t="n"/>
      <c r="I47" s="31" t="n"/>
      <c r="J47" s="31" t="n"/>
      <c r="K47" s="31" t="n"/>
      <c r="L47" s="31" t="n"/>
    </row>
    <row r="48" ht="62.5" customHeight="1" s="73">
      <c r="A48" s="35" t="inlineStr">
        <is>
          <t>E17a</t>
        </is>
      </c>
      <c r="B48" s="35" t="inlineStr">
        <is>
          <t>BSI.IT.6.C7.3-Evidences\04_Data_Integrity_and_Email_Testing_Evidence\BSI.IT.6.C7.3_E17a_4069_001.pdf</t>
        </is>
      </c>
      <c r="C48" s="35" t="inlineStr">
        <is>
          <t>DMA03</t>
        </is>
      </c>
      <c r="D48" s="35" t="inlineStr">
        <is>
          <t>BSI.IT.6.C7.3-Evidences\03_DIV_Manager_Attestation_Email_Approvals\DMA03_RE_ Management Attestation – DIV – Payments &amp; Cash Management - Frank Puentes 08-18-2026.msg</t>
        </is>
      </c>
      <c r="E48" s="35" t="inlineStr">
        <is>
          <t>byte-identical file (MD5 match) – retained inside DMA03 (attachment)</t>
        </is>
      </c>
      <c r="F48" s="31" t="n"/>
      <c r="G48" s="31" t="n"/>
      <c r="H48" s="31" t="n"/>
      <c r="I48" s="31" t="n"/>
      <c r="J48" s="31" t="n"/>
      <c r="K48" s="31" t="n"/>
      <c r="L48" s="31" t="n"/>
    </row>
    <row r="49" ht="62.5" customHeight="1" s="73">
      <c r="A49" s="35" t="inlineStr">
        <is>
          <t>DMA01a</t>
        </is>
      </c>
      <c r="B49" s="35" t="inlineStr">
        <is>
          <t>BSI.IT.6.C7.3-Evidences\03_DIV_Manager_Attestation_Email_Approvals\Signed_Attestations_extracted\DMA01a_Client Back Office - Data_Integrity_Attestation_Santander-BCiC (002).pdf</t>
        </is>
      </c>
      <c r="C49" s="35" t="inlineStr">
        <is>
          <t>DMA01</t>
        </is>
      </c>
      <c r="D49" s="35" t="inlineStr">
        <is>
          <t>BSI.IT.6.C7.3-Evidences\03_DIV_Manager_Attestation_Email_Approvals\DMA01_RE_ Management Attestation – DIV – Client Back Office - Claudia Romero 08-18-2026.msg</t>
        </is>
      </c>
      <c r="E49" s="35" t="inlineStr">
        <is>
          <t>extracted copy of the signed attestation embedded in DMA01 – cited as DMA01 (attachment)</t>
        </is>
      </c>
      <c r="F49" s="31" t="n"/>
      <c r="G49" s="31" t="n"/>
      <c r="H49" s="31" t="n"/>
      <c r="I49" s="31" t="n"/>
      <c r="J49" s="31" t="n"/>
      <c r="K49" s="31" t="n"/>
      <c r="L49" s="31" t="n"/>
    </row>
    <row r="50" ht="62.5" customHeight="1" s="73">
      <c r="A50" s="35" t="inlineStr">
        <is>
          <t>DMA02a</t>
        </is>
      </c>
      <c r="B50" s="35" t="inlineStr">
        <is>
          <t>BSI.IT.6.C7.3-Evidences\03_DIV_Manager_Attestation_Email_Approvals\Signed_Attestations_extracted\DMA02a_BSA-AML-OFAC Compliance - Data_Integrity_Attestation_Santander-BCiC (005) - BSA-AML-OFAC Compliance.pdf</t>
        </is>
      </c>
      <c r="C50" s="35" t="inlineStr">
        <is>
          <t>DMA02</t>
        </is>
      </c>
      <c r="D50" s="35" t="inlineStr">
        <is>
          <t>BSI.IT.6.C7.3-Evidences\03_DIV_Manager_Attestation_Email_Approvals\DMA02_RE_ Management Attestation – DIV – BSA-AML-OFAC Compliance - David Marquez 08-19-2026.msg</t>
        </is>
      </c>
      <c r="E50" s="35" t="inlineStr">
        <is>
          <t>extracted copy of the signed attestation embedded in DMA02 – cited as DMA02 (attachment)</t>
        </is>
      </c>
      <c r="F50" s="31" t="n"/>
      <c r="G50" s="31" t="n"/>
      <c r="H50" s="31" t="n"/>
      <c r="I50" s="31" t="n"/>
      <c r="J50" s="31" t="n"/>
      <c r="K50" s="31" t="n"/>
      <c r="L50" s="31" t="n"/>
    </row>
    <row r="51" ht="62.5" customHeight="1" s="73">
      <c r="A51" s="35" t="inlineStr">
        <is>
          <t>DMA03a</t>
        </is>
      </c>
      <c r="B51" s="35" t="inlineStr">
        <is>
          <t>BSI.IT.6.C7.3-Evidences\03_DIV_Manager_Attestation_Email_Approvals\Signed_Attestations_extracted\DMA03a_Payments &amp; Cash Management - 4069_001.pdf</t>
        </is>
      </c>
      <c r="C51" s="35" t="inlineStr">
        <is>
          <t>DMA03</t>
        </is>
      </c>
      <c r="D51" s="35" t="inlineStr">
        <is>
          <t>BSI.IT.6.C7.3-Evidences\03_DIV_Manager_Attestation_Email_Approvals\DMA03_RE_ Management Attestation – DIV – Payments &amp; Cash Management - Frank Puentes 08-18-2026.msg</t>
        </is>
      </c>
      <c r="E51" s="35" t="inlineStr">
        <is>
          <t>extracted copy of the signed attestation embedded in DMA03 – cited as DMA03 (attachment)</t>
        </is>
      </c>
      <c r="F51" s="31" t="n"/>
      <c r="G51" s="31" t="n"/>
      <c r="H51" s="31" t="n"/>
      <c r="I51" s="31" t="n"/>
      <c r="J51" s="31" t="n"/>
      <c r="K51" s="31" t="n"/>
      <c r="L51" s="31" t="n"/>
    </row>
    <row r="52" ht="62.5" customHeight="1" s="73">
      <c r="A52" s="35" t="inlineStr">
        <is>
          <t>DMA04a</t>
        </is>
      </c>
      <c r="B52" s="35" t="inlineStr">
        <is>
          <t>BSI.IT.6.C7.3-Evidences\03_DIV_Manager_Attestation_Email_Approvals\Signed_Attestations_extracted\DMA04a_Investment Operations - Data_Integrity_Attestation_Santander-BCiC.pdf</t>
        </is>
      </c>
      <c r="C52" s="35" t="inlineStr">
        <is>
          <t>DMA04</t>
        </is>
      </c>
      <c r="D52" s="35" t="inlineStr">
        <is>
          <t>BSI.IT.6.C7.3-Evidences\03_DIV_Manager_Attestation_Email_Approvals\DMA04_RE_ Management Attestation – DIV – Investment Operations - Michelle Oropesa 08-17-2026.msg</t>
        </is>
      </c>
      <c r="E52" s="35" t="inlineStr">
        <is>
          <t>extracted copy of the signed attestation embedded in DMA04 – cited as DMA04 (attachment)</t>
        </is>
      </c>
      <c r="F52" s="31" t="n"/>
      <c r="G52" s="31" t="n"/>
      <c r="H52" s="31" t="n"/>
      <c r="I52" s="31" t="n"/>
      <c r="J52" s="31" t="n"/>
      <c r="K52" s="31" t="n"/>
      <c r="L52" s="31" t="n"/>
    </row>
    <row r="53" ht="75" customHeight="1" s="73">
      <c r="A53" s="35" t="inlineStr">
        <is>
          <t>DMA05a</t>
        </is>
      </c>
      <c r="B53" s="35" t="inlineStr">
        <is>
          <t>BSI.IT.6.C7.3-Evidences\03_DIV_Manager_Attestation_Email_Approvals\Signed_Attestations_extracted\DMA05a_Operations (Governance &amp; Static Data, Multi-Family Office) - Data_Integrity_Attestation_Santander-BCiC.pdf</t>
        </is>
      </c>
      <c r="C53" s="35" t="inlineStr">
        <is>
          <t>DMA05</t>
        </is>
      </c>
      <c r="D53" s="35" t="inlineStr">
        <is>
          <t>BSI.IT.6.C7.3-Evidences\03_DIV_Manager_Attestation_Email_Approvals\DMA05_RE_ Management Attestation – DIV – Operations (Governance &amp; Static Data, Multi-Family Office) - Maria Teresa Del Cerro 08-19-2026.msg</t>
        </is>
      </c>
      <c r="E53" s="35" t="inlineStr">
        <is>
          <t>extracted copy of the signed attestation embedded in DMA05 – cited as DMA05 (attachment)</t>
        </is>
      </c>
      <c r="F53" s="31" t="n"/>
      <c r="G53" s="31" t="n"/>
      <c r="H53" s="31" t="n"/>
      <c r="I53" s="31" t="n"/>
      <c r="J53" s="31" t="n"/>
      <c r="K53" s="31" t="n"/>
      <c r="L53" s="31" t="n"/>
    </row>
    <row r="54" ht="75" customHeight="1" s="73">
      <c r="A54" s="35" t="inlineStr">
        <is>
          <t>DMA06a</t>
        </is>
      </c>
      <c r="B54" s="35" t="inlineStr">
        <is>
          <t>BSI.IT.6.C7.3-Evidences\03_DIV_Manager_Attestation_Email_Approvals\Signed_Attestations_extracted\DMA06a_Trading &amp; Capital Markets (AIS, Portfolio Advisory, P&amp;I Tech) - Data_Integrity_Attestation_Santander-BCiC_signed.pdf</t>
        </is>
      </c>
      <c r="C54" s="35" t="inlineStr">
        <is>
          <t>DMA06</t>
        </is>
      </c>
      <c r="D54" s="35" t="inlineStr">
        <is>
          <t>BSI.IT.6.C7.3-Evidences\03_DIV_Manager_Attestation_Email_Approvals\DMA06_RE_ Management Attestation – DIV – Trading &amp; Capital Markets (AIS, Portfolio Advisory, P&amp;I Tech) - Ricardo Garcia-Marques 08-18-2026.msg</t>
        </is>
      </c>
      <c r="E54" s="35" t="inlineStr">
        <is>
          <t>extracted copy of the signed attestation embedded in DMA06 – cited as DMA06 (attachment)</t>
        </is>
      </c>
      <c r="F54" s="31" t="n"/>
      <c r="G54" s="31" t="n"/>
      <c r="H54" s="31" t="n"/>
      <c r="I54" s="31" t="n"/>
      <c r="J54" s="31" t="n"/>
      <c r="K54" s="31" t="n"/>
      <c r="L54" s="31" t="n"/>
    </row>
    <row r="55" ht="62.5" customHeight="1" s="73">
      <c r="A55" s="35" t="inlineStr">
        <is>
          <t>DMA07a</t>
        </is>
      </c>
      <c r="B55" s="35" t="inlineStr">
        <is>
          <t>BSI.IT.6.C7.3-Evidences\03_DIV_Manager_Attestation_Email_Approvals\Signed_Attestations_extracted\DMA07a_Treasury &amp; Capital Planning - Data_Integrity_Attestation_Santander-BCiC.pdf</t>
        </is>
      </c>
      <c r="C55" s="35" t="inlineStr">
        <is>
          <t>DMA07</t>
        </is>
      </c>
      <c r="D55" s="35" t="inlineStr">
        <is>
          <t>BSI.IT.6.C7.3-Evidences\03_DIV_Manager_Attestation_Email_Approvals\DMA07_RE_ Management Attestation – DIV – Treasury &amp; Capital Planning - Martha Sullivan 08-18-2026.msg</t>
        </is>
      </c>
      <c r="E55" s="35" t="inlineStr">
        <is>
          <t>extracted copy of the signed attestation embedded in DMA07 – cited as DMA07 (attachment)</t>
        </is>
      </c>
      <c r="F55" s="31" t="n"/>
      <c r="G55" s="31" t="n"/>
      <c r="H55" s="31" t="n"/>
      <c r="I55" s="31" t="n"/>
      <c r="J55" s="31" t="n"/>
      <c r="K55" s="31" t="n"/>
      <c r="L55" s="31" t="n"/>
    </row>
    <row r="56" ht="62.5" customHeight="1" s="73">
      <c r="A56" s="35" t="inlineStr">
        <is>
          <t>DMA09a</t>
        </is>
      </c>
      <c r="B56" s="35" t="inlineStr">
        <is>
          <t>BSI.IT.6.C7.3-Evidences\03_DIV_Manager_Attestation_Email_Approvals\Signed_Attestations_extracted\DMA09a_General Services (Marketing &amp; General Services) - Data_Integrity_Attestation_Santander-BCiC.pdf</t>
        </is>
      </c>
      <c r="C56" s="35" t="inlineStr">
        <is>
          <t>DMA09</t>
        </is>
      </c>
      <c r="D56" s="35" t="inlineStr">
        <is>
          <t>BSI.IT.6.C7.3-Evidences\03_DIV_Manager_Attestation_Email_Approvals\DMA09_RE_ Management Attestation – DIV – General Services (Marketing &amp; General Services) - Clara De Castro 08-18-2026.msg</t>
        </is>
      </c>
      <c r="E56" s="35" t="inlineStr">
        <is>
          <t>extracted copy of the signed attestation embedded in DMA09 – cited as DMA09 (attachment)</t>
        </is>
      </c>
      <c r="F56" s="31" t="n"/>
      <c r="G56" s="31" t="n"/>
      <c r="H56" s="31" t="n"/>
      <c r="I56" s="31" t="n"/>
      <c r="J56" s="31" t="n"/>
      <c r="K56" s="31" t="n"/>
      <c r="L56" s="31" t="n"/>
    </row>
    <row r="57" ht="62.5" customHeight="1" s="73">
      <c r="A57" s="35" t="inlineStr">
        <is>
          <t>E07.01–E07.13</t>
        </is>
      </c>
      <c r="B57" s="35" t="inlineStr">
        <is>
          <t>BSI.IT.6.C7.3-Evidences\04_Data_Integrity_and_Email_Testing_Evidence\E07_Attachments_extracted (13 files)</t>
        </is>
      </c>
      <c r="C57" s="35" t="inlineStr">
        <is>
          <t>E07</t>
        </is>
      </c>
      <c r="D57" s="35" t="inlineStr">
        <is>
          <t>BSI.IT.6.C7.3-Evidences\04_Data_Integrity_and_Email_Testing_Evidence\BSI.IT.6.C7.3_E07_DATA INTERITY FILS FROM 111425.msg</t>
        </is>
      </c>
      <c r="E57" s="35" t="inlineStr">
        <is>
          <t>extracted copies of the report attachments embedded in E07 – cited as E07 (attachments)</t>
        </is>
      </c>
      <c r="F57" s="31" t="n"/>
      <c r="G57" s="31" t="n"/>
      <c r="H57" s="31" t="n"/>
      <c r="I57" s="31" t="n"/>
      <c r="J57" s="31" t="n"/>
      <c r="K57" s="31" t="n"/>
      <c r="L57" s="31" t="n"/>
    </row>
    <row r="58" ht="62.5" customHeight="1" s="73">
      <c r="A58" s="35" t="inlineStr">
        <is>
          <t>E08.01–E08.13</t>
        </is>
      </c>
      <c r="B58" s="35" t="inlineStr">
        <is>
          <t>BSI.IT.6.C7.3-Evidences\04_Data_Integrity_and_Email_Testing_Evidence\E08_Attachments_extracted (13 files)</t>
        </is>
      </c>
      <c r="C58" s="35" t="inlineStr">
        <is>
          <t>E08</t>
        </is>
      </c>
      <c r="D58" s="35" t="inlineStr">
        <is>
          <t>BSI.IT.6.C7.3-Evidences\04_Data_Integrity_and_Email_Testing_Evidence\BSI.IT.6.C7.3_E08_FILES FROM 111525 DR TEST - DATA COMPARISON FROM 111425.msg</t>
        </is>
      </c>
      <c r="E58" s="35" t="inlineStr">
        <is>
          <t>extracted copies of the report attachments embedded in E08 – cited as E08 (attachments)</t>
        </is>
      </c>
      <c r="F58" s="31" t="n"/>
      <c r="G58" s="31" t="n"/>
      <c r="H58" s="31" t="n"/>
      <c r="I58" s="31" t="n"/>
      <c r="J58" s="31" t="n"/>
      <c r="K58" s="31" t="n"/>
      <c r="L58" s="31" t="n"/>
    </row>
    <row r="59" ht="62.5" customHeight="1" s="73">
      <c r="A59" s="35" t="inlineStr">
        <is>
          <t>E06</t>
        </is>
      </c>
      <c r="B59" s="35" t="inlineStr">
        <is>
          <t>BSI.IT.6.C7.3-Evidences\04_Data_Integrity_and_Email_Testing_Evidence\BSI.IT.6.C7.3_E06_IT BIA Results Review and preparation for DR  1 (1).msg.eml</t>
        </is>
      </c>
      <c r="C59" s="35" t="inlineStr">
        <is>
          <t>E05</t>
        </is>
      </c>
      <c r="D59" s="35" t="inlineStr">
        <is>
          <t>BSI.IT.6.C7.3-Evidences\04_Data_Integrity_and_Email_Testing_Evidence\BSI.IT.6.C7.3_E05_IT BIA Results Review and preparation for DR .msg</t>
        </is>
      </c>
      <c r="E59" s="35" t="inlineStr">
        <is>
          <t>same meeting invite (same Teams meeting ID, attendees and body) re-sent 09/18/2025</t>
        </is>
      </c>
      <c r="F59" s="31" t="n"/>
      <c r="G59" s="31" t="n"/>
      <c r="H59" s="31" t="n"/>
      <c r="I59" s="31" t="n"/>
      <c r="J59" s="31" t="n"/>
      <c r="K59" s="31" t="n"/>
      <c r="L59" s="31" t="n"/>
    </row>
    <row r="60">
      <c r="A60" s="31" t="n"/>
      <c r="B60" s="31" t="n"/>
      <c r="C60" s="31" t="n"/>
      <c r="D60" s="31" t="n"/>
      <c r="E60" s="31" t="n"/>
      <c r="F60" s="31" t="n"/>
      <c r="G60" s="31" t="n"/>
      <c r="H60" s="31" t="n"/>
      <c r="I60" s="31" t="n"/>
      <c r="J60" s="31" t="n"/>
      <c r="K60" s="31" t="n"/>
      <c r="L60" s="31" t="n"/>
    </row>
    <row r="61">
      <c r="A61" s="31" t="n"/>
      <c r="B61" s="31" t="n"/>
      <c r="C61" s="31" t="n"/>
      <c r="D61" s="31" t="n"/>
      <c r="E61" s="31" t="n"/>
      <c r="F61" s="31" t="n"/>
      <c r="G61" s="31" t="n"/>
      <c r="H61" s="31" t="n"/>
      <c r="I61" s="31" t="n"/>
      <c r="J61" s="31" t="n"/>
      <c r="K61" s="31" t="n"/>
      <c r="L61" s="31" t="n"/>
    </row>
    <row r="62">
      <c r="A62" s="31" t="n"/>
      <c r="B62" s="31" t="n"/>
      <c r="C62" s="31" t="n"/>
      <c r="D62" s="31" t="n"/>
      <c r="E62" s="31" t="n"/>
      <c r="F62" s="31" t="n"/>
      <c r="G62" s="31" t="n"/>
      <c r="H62" s="31" t="n"/>
      <c r="I62" s="31" t="n"/>
      <c r="J62" s="31" t="n"/>
      <c r="K62" s="31" t="n"/>
      <c r="L62" s="31" t="n"/>
    </row>
    <row r="63">
      <c r="A63" s="31" t="n"/>
      <c r="B63" s="31" t="n"/>
      <c r="C63" s="31" t="n"/>
      <c r="D63" s="31" t="n"/>
      <c r="E63" s="31" t="n"/>
      <c r="F63" s="31" t="n"/>
      <c r="G63" s="31" t="n"/>
      <c r="H63" s="31" t="n"/>
      <c r="I63" s="31" t="n"/>
      <c r="J63" s="31" t="n"/>
      <c r="K63" s="31" t="n"/>
      <c r="L63" s="31" t="n"/>
    </row>
    <row r="64">
      <c r="A64" s="31" t="n"/>
      <c r="B64" s="31" t="n"/>
      <c r="C64" s="31" t="n"/>
      <c r="D64" s="31" t="n"/>
      <c r="E64" s="31" t="n"/>
      <c r="F64" s="31" t="n"/>
      <c r="G64" s="31" t="n"/>
      <c r="H64" s="31" t="n"/>
      <c r="I64" s="31" t="n"/>
      <c r="J64" s="31" t="n"/>
      <c r="K64" s="31" t="n"/>
      <c r="L64" s="31" t="n"/>
    </row>
    <row r="65">
      <c r="A65" s="31" t="n"/>
      <c r="B65" s="31" t="n"/>
      <c r="C65" s="31" t="n"/>
      <c r="D65" s="31" t="n"/>
      <c r="E65" s="31" t="n"/>
      <c r="F65" s="31" t="n"/>
      <c r="G65" s="31" t="n"/>
      <c r="H65" s="31" t="n"/>
      <c r="I65" s="31" t="n"/>
      <c r="J65" s="31" t="n"/>
      <c r="K65" s="31" t="n"/>
      <c r="L65" s="31" t="n"/>
    </row>
    <row r="66">
      <c r="A66" s="31" t="n"/>
      <c r="B66" s="31" t="n"/>
      <c r="C66" s="31" t="n"/>
      <c r="D66" s="31" t="n"/>
      <c r="E66" s="31" t="n"/>
      <c r="F66" s="31" t="n"/>
      <c r="G66" s="31" t="n"/>
      <c r="H66" s="31" t="n"/>
      <c r="I66" s="31" t="n"/>
      <c r="J66" s="31" t="n"/>
      <c r="K66" s="31" t="n"/>
      <c r="L66" s="31" t="n"/>
    </row>
    <row r="67">
      <c r="A67" s="31" t="n"/>
      <c r="B67" s="31" t="n"/>
      <c r="C67" s="31" t="n"/>
      <c r="D67" s="31" t="n"/>
      <c r="E67" s="31" t="n"/>
      <c r="F67" s="31" t="n"/>
      <c r="G67" s="31" t="n"/>
      <c r="H67" s="31" t="n"/>
      <c r="I67" s="31" t="n"/>
      <c r="J67" s="31" t="n"/>
      <c r="K67" s="31" t="n"/>
      <c r="L67" s="31" t="n"/>
    </row>
    <row r="68">
      <c r="A68" s="31" t="n"/>
      <c r="B68" s="31" t="n"/>
      <c r="C68" s="31" t="n"/>
      <c r="D68" s="31" t="n"/>
      <c r="E68" s="31" t="n"/>
      <c r="F68" s="31" t="n"/>
      <c r="G68" s="31" t="n"/>
      <c r="H68" s="31" t="n"/>
      <c r="I68" s="31" t="n"/>
      <c r="J68" s="31" t="n"/>
      <c r="K68" s="31" t="n"/>
      <c r="L68" s="31" t="n"/>
    </row>
    <row r="69">
      <c r="A69" s="31" t="n"/>
      <c r="B69" s="31" t="n"/>
      <c r="C69" s="31" t="n"/>
      <c r="D69" s="31" t="n"/>
      <c r="E69" s="31" t="n"/>
      <c r="F69" s="31" t="n"/>
      <c r="G69" s="31" t="n"/>
      <c r="H69" s="31" t="n"/>
      <c r="I69" s="31" t="n"/>
      <c r="J69" s="31" t="n"/>
      <c r="K69" s="31" t="n"/>
      <c r="L69" s="31" t="n"/>
    </row>
    <row r="70">
      <c r="A70" s="31" t="n"/>
      <c r="B70" s="31" t="n"/>
      <c r="C70" s="31" t="n"/>
      <c r="D70" s="31" t="n"/>
      <c r="E70" s="31" t="n"/>
      <c r="F70" s="31" t="n"/>
      <c r="G70" s="31" t="n"/>
      <c r="H70" s="31" t="n"/>
      <c r="I70" s="31" t="n"/>
      <c r="J70" s="31" t="n"/>
      <c r="K70" s="31" t="n"/>
      <c r="L70" s="31" t="n"/>
    </row>
    <row r="71">
      <c r="A71" s="31" t="n"/>
      <c r="B71" s="31" t="n"/>
      <c r="C71" s="31" t="n"/>
      <c r="D71" s="31" t="n"/>
      <c r="E71" s="31" t="n"/>
      <c r="F71" s="31" t="n"/>
      <c r="G71" s="31" t="n"/>
      <c r="H71" s="31" t="n"/>
      <c r="I71" s="31" t="n"/>
      <c r="J71" s="31" t="n"/>
      <c r="K71" s="31" t="n"/>
      <c r="L71" s="31" t="n"/>
    </row>
    <row r="72">
      <c r="A72" s="31" t="n"/>
      <c r="B72" s="31" t="n"/>
      <c r="C72" s="31" t="n"/>
      <c r="D72" s="31" t="n"/>
      <c r="E72" s="31" t="n"/>
      <c r="F72" s="31" t="n"/>
      <c r="G72" s="31" t="n"/>
      <c r="H72" s="31" t="n"/>
      <c r="I72" s="31" t="n"/>
      <c r="J72" s="31" t="n"/>
      <c r="K72" s="31" t="n"/>
      <c r="L72" s="31" t="n"/>
    </row>
    <row r="73">
      <c r="A73" s="31" t="n"/>
      <c r="B73" s="31" t="n"/>
      <c r="C73" s="31" t="n"/>
      <c r="D73" s="31" t="n"/>
      <c r="E73" s="31" t="n"/>
      <c r="F73" s="31" t="n"/>
      <c r="G73" s="31" t="n"/>
      <c r="H73" s="31" t="n"/>
      <c r="I73" s="31" t="n"/>
      <c r="J73" s="31" t="n"/>
      <c r="K73" s="31" t="n"/>
      <c r="L73" s="31" t="n"/>
    </row>
    <row r="74">
      <c r="A74" s="31" t="n"/>
      <c r="B74" s="31" t="n"/>
      <c r="C74" s="31" t="n"/>
      <c r="D74" s="31" t="n"/>
      <c r="E74" s="31" t="n"/>
      <c r="F74" s="31" t="n"/>
      <c r="G74" s="31" t="n"/>
      <c r="H74" s="31" t="n"/>
      <c r="I74" s="31" t="n"/>
      <c r="J74" s="31" t="n"/>
      <c r="K74" s="31" t="n"/>
      <c r="L74" s="31" t="n"/>
    </row>
    <row r="75">
      <c r="A75" s="31" t="n"/>
      <c r="B75" s="31" t="n"/>
      <c r="C75" s="31" t="n"/>
      <c r="D75" s="31" t="n"/>
      <c r="E75" s="31" t="n"/>
      <c r="F75" s="31" t="n"/>
      <c r="G75" s="31" t="n"/>
      <c r="H75" s="31" t="n"/>
      <c r="I75" s="31" t="n"/>
      <c r="J75" s="31" t="n"/>
      <c r="K75" s="31" t="n"/>
      <c r="L75" s="31" t="n"/>
    </row>
    <row r="76">
      <c r="A76" s="31" t="n"/>
      <c r="B76" s="31" t="n"/>
      <c r="C76" s="31" t="n"/>
      <c r="D76" s="31" t="n"/>
      <c r="E76" s="31" t="n"/>
      <c r="F76" s="31" t="n"/>
      <c r="G76" s="31" t="n"/>
      <c r="H76" s="31" t="n"/>
      <c r="I76" s="31" t="n"/>
      <c r="J76" s="31" t="n"/>
      <c r="K76" s="31" t="n"/>
      <c r="L76" s="31" t="n"/>
    </row>
    <row r="77">
      <c r="A77" s="31" t="n"/>
      <c r="B77" s="31" t="n"/>
      <c r="C77" s="31" t="n"/>
      <c r="D77" s="31" t="n"/>
      <c r="E77" s="31" t="n"/>
      <c r="F77" s="31" t="n"/>
      <c r="G77" s="31" t="n"/>
      <c r="H77" s="31" t="n"/>
      <c r="I77" s="31" t="n"/>
      <c r="J77" s="31" t="n"/>
      <c r="K77" s="31" t="n"/>
      <c r="L77" s="31" t="n"/>
    </row>
    <row r="78">
      <c r="A78" s="31" t="n"/>
      <c r="B78" s="31" t="n"/>
      <c r="C78" s="31" t="n"/>
      <c r="D78" s="31" t="n"/>
      <c r="E78" s="31" t="n"/>
      <c r="F78" s="31" t="n"/>
      <c r="G78" s="31" t="n"/>
      <c r="H78" s="31" t="n"/>
      <c r="I78" s="31" t="n"/>
      <c r="J78" s="31" t="n"/>
      <c r="K78" s="31" t="n"/>
      <c r="L78" s="31" t="n"/>
    </row>
    <row r="79">
      <c r="A79" s="31" t="n"/>
      <c r="B79" s="31" t="n"/>
      <c r="C79" s="31" t="n"/>
      <c r="D79" s="31" t="n"/>
      <c r="E79" s="31" t="n"/>
      <c r="F79" s="31" t="n"/>
      <c r="G79" s="31" t="n"/>
      <c r="H79" s="31" t="n"/>
      <c r="I79" s="31" t="n"/>
      <c r="J79" s="31" t="n"/>
      <c r="K79" s="31" t="n"/>
      <c r="L79" s="31" t="n"/>
    </row>
    <row r="80">
      <c r="A80" s="31" t="n"/>
      <c r="B80" s="31" t="n"/>
      <c r="C80" s="31" t="n"/>
      <c r="D80" s="31" t="n"/>
      <c r="E80" s="31" t="n"/>
      <c r="F80" s="31" t="n"/>
      <c r="G80" s="31" t="n"/>
      <c r="H80" s="31" t="n"/>
      <c r="I80" s="31" t="n"/>
      <c r="J80" s="31" t="n"/>
      <c r="K80" s="31" t="n"/>
      <c r="L80" s="31" t="n"/>
    </row>
    <row r="81">
      <c r="A81" s="31" t="n"/>
      <c r="B81" s="31" t="n"/>
      <c r="C81" s="31" t="n"/>
      <c r="D81" s="31" t="n"/>
      <c r="E81" s="31" t="n"/>
      <c r="F81" s="31" t="n"/>
      <c r="G81" s="31" t="n"/>
      <c r="H81" s="31" t="n"/>
      <c r="I81" s="31" t="n"/>
      <c r="J81" s="31" t="n"/>
      <c r="K81" s="31" t="n"/>
      <c r="L81" s="31" t="n"/>
    </row>
    <row r="82">
      <c r="A82" s="31" t="n"/>
      <c r="B82" s="31" t="n"/>
      <c r="C82" s="31" t="n"/>
      <c r="D82" s="31" t="n"/>
      <c r="E82" s="31" t="n"/>
      <c r="F82" s="31" t="n"/>
      <c r="G82" s="31" t="n"/>
      <c r="H82" s="31" t="n"/>
      <c r="I82" s="31" t="n"/>
      <c r="J82" s="31" t="n"/>
      <c r="K82" s="31" t="n"/>
      <c r="L82" s="31" t="n"/>
    </row>
    <row r="83">
      <c r="A83" s="31" t="n"/>
      <c r="B83" s="31" t="n"/>
      <c r="C83" s="31" t="n"/>
      <c r="D83" s="31" t="n"/>
      <c r="E83" s="31" t="n"/>
      <c r="F83" s="31" t="n"/>
      <c r="G83" s="31" t="n"/>
      <c r="H83" s="31" t="n"/>
      <c r="I83" s="31" t="n"/>
      <c r="J83" s="31" t="n"/>
      <c r="K83" s="31" t="n"/>
      <c r="L83" s="31" t="n"/>
    </row>
    <row r="84">
      <c r="A84" s="31" t="n"/>
      <c r="B84" s="31" t="n"/>
      <c r="C84" s="31" t="n"/>
      <c r="D84" s="31" t="n"/>
      <c r="E84" s="31" t="n"/>
      <c r="F84" s="31" t="n"/>
      <c r="G84" s="31" t="n"/>
      <c r="H84" s="31" t="n"/>
      <c r="I84" s="31" t="n"/>
      <c r="J84" s="31" t="n"/>
      <c r="K84" s="31" t="n"/>
      <c r="L84" s="31" t="n"/>
    </row>
    <row r="85">
      <c r="A85" s="31" t="n"/>
      <c r="B85" s="31" t="n"/>
      <c r="C85" s="31" t="n"/>
      <c r="D85" s="31" t="n"/>
      <c r="E85" s="31" t="n"/>
      <c r="F85" s="31" t="n"/>
      <c r="G85" s="31" t="n"/>
      <c r="H85" s="31" t="n"/>
      <c r="I85" s="31" t="n"/>
      <c r="J85" s="31" t="n"/>
      <c r="K85" s="31" t="n"/>
      <c r="L85" s="31" t="n"/>
    </row>
    <row r="86">
      <c r="A86" s="31" t="n"/>
      <c r="B86" s="31" t="n"/>
      <c r="C86" s="31" t="n"/>
      <c r="D86" s="31" t="n"/>
      <c r="E86" s="31" t="n"/>
      <c r="F86" s="31" t="n"/>
      <c r="G86" s="31" t="n"/>
      <c r="H86" s="31" t="n"/>
      <c r="I86" s="31" t="n"/>
      <c r="J86" s="31" t="n"/>
      <c r="K86" s="31" t="n"/>
      <c r="L86" s="31" t="n"/>
    </row>
    <row r="87">
      <c r="A87" s="31" t="n"/>
      <c r="B87" s="31" t="n"/>
      <c r="C87" s="31" t="n"/>
      <c r="D87" s="31" t="n"/>
      <c r="E87" s="31" t="n"/>
      <c r="F87" s="31" t="n"/>
      <c r="G87" s="31" t="n"/>
      <c r="H87" s="31" t="n"/>
      <c r="I87" s="31" t="n"/>
      <c r="J87" s="31" t="n"/>
      <c r="K87" s="31" t="n"/>
      <c r="L87" s="31" t="n"/>
    </row>
    <row r="88">
      <c r="A88" s="31" t="n"/>
      <c r="B88" s="31" t="n"/>
      <c r="C88" s="31" t="n"/>
      <c r="D88" s="31" t="n"/>
      <c r="E88" s="31" t="n"/>
      <c r="F88" s="31" t="n"/>
      <c r="G88" s="31" t="n"/>
      <c r="H88" s="31" t="n"/>
      <c r="I88" s="31" t="n"/>
      <c r="J88" s="31" t="n"/>
      <c r="K88" s="31" t="n"/>
      <c r="L88" s="31" t="n"/>
    </row>
    <row r="89">
      <c r="A89" s="31" t="n"/>
      <c r="B89" s="31" t="n"/>
      <c r="C89" s="31" t="n"/>
      <c r="D89" s="31" t="n"/>
      <c r="E89" s="31" t="n"/>
      <c r="F89" s="31" t="n"/>
      <c r="G89" s="31" t="n"/>
      <c r="H89" s="31" t="n"/>
      <c r="I89" s="31" t="n"/>
      <c r="J89" s="31" t="n"/>
      <c r="K89" s="31" t="n"/>
      <c r="L89" s="31" t="n"/>
    </row>
    <row r="90">
      <c r="A90" s="31" t="n"/>
      <c r="B90" s="31" t="n"/>
      <c r="C90" s="31" t="n"/>
      <c r="D90" s="31" t="n"/>
      <c r="E90" s="31" t="n"/>
      <c r="F90" s="31" t="n"/>
      <c r="G90" s="31" t="n"/>
      <c r="H90" s="31" t="n"/>
      <c r="I90" s="31" t="n"/>
      <c r="J90" s="31" t="n"/>
      <c r="K90" s="31" t="n"/>
      <c r="L90" s="31" t="n"/>
    </row>
    <row r="91">
      <c r="A91" s="31" t="n"/>
      <c r="B91" s="31" t="n"/>
      <c r="C91" s="31" t="n"/>
      <c r="D91" s="31" t="n"/>
      <c r="E91" s="31" t="n"/>
      <c r="F91" s="31" t="n"/>
      <c r="G91" s="31" t="n"/>
      <c r="H91" s="31" t="n"/>
      <c r="I91" s="31" t="n"/>
      <c r="J91" s="31" t="n"/>
      <c r="K91" s="31" t="n"/>
      <c r="L91" s="31" t="n"/>
    </row>
    <row r="92">
      <c r="A92" s="31" t="n"/>
      <c r="B92" s="31" t="n"/>
      <c r="C92" s="31" t="n"/>
      <c r="D92" s="31" t="n"/>
      <c r="E92" s="31" t="n"/>
      <c r="F92" s="31" t="n"/>
      <c r="G92" s="31" t="n"/>
      <c r="H92" s="31" t="n"/>
      <c r="I92" s="31" t="n"/>
      <c r="J92" s="31" t="n"/>
      <c r="K92" s="31" t="n"/>
      <c r="L92" s="31" t="n"/>
    </row>
    <row r="93">
      <c r="A93" s="31" t="n"/>
      <c r="B93" s="31" t="n"/>
      <c r="C93" s="31" t="n"/>
      <c r="D93" s="31" t="n"/>
      <c r="E93" s="31" t="n"/>
      <c r="F93" s="31" t="n"/>
      <c r="G93" s="31" t="n"/>
      <c r="H93" s="31" t="n"/>
      <c r="I93" s="31" t="n"/>
      <c r="J93" s="31" t="n"/>
      <c r="K93" s="31" t="n"/>
      <c r="L93" s="31" t="n"/>
    </row>
    <row r="94">
      <c r="A94" s="31" t="n"/>
      <c r="B94" s="31" t="n"/>
      <c r="C94" s="31" t="n"/>
      <c r="D94" s="31" t="n"/>
      <c r="E94" s="31" t="n"/>
      <c r="F94" s="31" t="n"/>
      <c r="G94" s="31" t="n"/>
      <c r="H94" s="31" t="n"/>
      <c r="I94" s="31" t="n"/>
      <c r="J94" s="31" t="n"/>
      <c r="K94" s="31" t="n"/>
      <c r="L94" s="31" t="n"/>
    </row>
    <row r="95">
      <c r="A95" s="31" t="n"/>
      <c r="B95" s="31" t="n"/>
      <c r="C95" s="31" t="n"/>
      <c r="D95" s="31" t="n"/>
      <c r="E95" s="31" t="n"/>
      <c r="F95" s="31" t="n"/>
      <c r="G95" s="31" t="n"/>
      <c r="H95" s="31" t="n"/>
      <c r="I95" s="31" t="n"/>
      <c r="J95" s="31" t="n"/>
      <c r="K95" s="31" t="n"/>
      <c r="L95" s="31" t="n"/>
    </row>
    <row r="96">
      <c r="A96" s="31" t="n"/>
      <c r="B96" s="31" t="n"/>
      <c r="C96" s="31" t="n"/>
      <c r="D96" s="31" t="n"/>
      <c r="E96" s="31" t="n"/>
      <c r="F96" s="31" t="n"/>
      <c r="G96" s="31" t="n"/>
      <c r="H96" s="31" t="n"/>
      <c r="I96" s="31" t="n"/>
      <c r="J96" s="31" t="n"/>
      <c r="K96" s="31" t="n"/>
      <c r="L96" s="31" t="n"/>
    </row>
    <row r="97">
      <c r="A97" s="31" t="n"/>
      <c r="B97" s="31" t="n"/>
      <c r="C97" s="31" t="n"/>
      <c r="D97" s="31" t="n"/>
      <c r="E97" s="31" t="n"/>
      <c r="F97" s="31" t="n"/>
      <c r="G97" s="31" t="n"/>
      <c r="H97" s="31" t="n"/>
      <c r="I97" s="31" t="n"/>
      <c r="J97" s="31" t="n"/>
      <c r="K97" s="31" t="n"/>
      <c r="L97" s="31" t="n"/>
    </row>
    <row r="98">
      <c r="A98" s="31" t="n"/>
      <c r="B98" s="31" t="n"/>
      <c r="C98" s="31" t="n"/>
      <c r="D98" s="31" t="n"/>
      <c r="E98" s="31" t="n"/>
      <c r="F98" s="31" t="n"/>
      <c r="G98" s="31" t="n"/>
      <c r="H98" s="31" t="n"/>
      <c r="I98" s="31" t="n"/>
      <c r="J98" s="31" t="n"/>
      <c r="K98" s="31" t="n"/>
      <c r="L98" s="31" t="n"/>
    </row>
    <row r="99">
      <c r="A99" s="31" t="n"/>
      <c r="B99" s="31" t="n"/>
      <c r="C99" s="31" t="n"/>
      <c r="D99" s="31" t="n"/>
      <c r="E99" s="31" t="n"/>
      <c r="F99" s="31" t="n"/>
      <c r="G99" s="31" t="n"/>
      <c r="H99" s="31" t="n"/>
      <c r="I99" s="31" t="n"/>
      <c r="J99" s="31" t="n"/>
      <c r="K99" s="31" t="n"/>
      <c r="L99" s="31" t="n"/>
    </row>
    <row r="100">
      <c r="A100" s="31" t="n"/>
      <c r="B100" s="31" t="n"/>
      <c r="C100" s="31" t="n"/>
      <c r="D100" s="31" t="n"/>
      <c r="E100" s="31" t="n"/>
      <c r="F100" s="31" t="n"/>
      <c r="G100" s="31" t="n"/>
      <c r="H100" s="31" t="n"/>
      <c r="I100" s="31" t="n"/>
      <c r="J100" s="31" t="n"/>
      <c r="K100" s="31" t="n"/>
      <c r="L100" s="31" t="n"/>
    </row>
    <row r="101">
      <c r="A101" s="31" t="n"/>
      <c r="B101" s="31" t="n"/>
      <c r="C101" s="31" t="n"/>
      <c r="D101" s="31" t="n"/>
      <c r="E101" s="31" t="n"/>
      <c r="F101" s="31" t="n"/>
      <c r="G101" s="31" t="n"/>
      <c r="H101" s="31" t="n"/>
      <c r="I101" s="31" t="n"/>
      <c r="J101" s="31" t="n"/>
      <c r="K101" s="31" t="n"/>
      <c r="L101" s="31" t="n"/>
    </row>
    <row r="102">
      <c r="A102" s="31" t="n"/>
      <c r="B102" s="31" t="n"/>
      <c r="C102" s="31" t="n"/>
      <c r="D102" s="31" t="n"/>
      <c r="E102" s="31" t="n"/>
      <c r="F102" s="31" t="n"/>
      <c r="G102" s="31" t="n"/>
      <c r="H102" s="31" t="n"/>
      <c r="I102" s="31" t="n"/>
      <c r="J102" s="31" t="n"/>
      <c r="K102" s="31" t="n"/>
      <c r="L102" s="31" t="n"/>
    </row>
    <row r="103">
      <c r="A103" s="31" t="n"/>
      <c r="B103" s="31" t="n"/>
      <c r="C103" s="31" t="n"/>
      <c r="D103" s="31" t="n"/>
      <c r="E103" s="31" t="n"/>
      <c r="F103" s="31" t="n"/>
      <c r="G103" s="31" t="n"/>
      <c r="H103" s="31" t="n"/>
      <c r="I103" s="31" t="n"/>
      <c r="J103" s="31" t="n"/>
      <c r="K103" s="31" t="n"/>
      <c r="L103" s="31" t="n"/>
    </row>
    <row r="104">
      <c r="A104" s="31" t="n"/>
      <c r="B104" s="31" t="n"/>
      <c r="C104" s="31" t="n"/>
      <c r="D104" s="31" t="n"/>
      <c r="E104" s="31" t="n"/>
      <c r="F104" s="31" t="n"/>
      <c r="G104" s="31" t="n"/>
      <c r="H104" s="31" t="n"/>
      <c r="I104" s="31" t="n"/>
      <c r="J104" s="31" t="n"/>
      <c r="K104" s="31" t="n"/>
      <c r="L104" s="31" t="n"/>
    </row>
    <row r="105">
      <c r="A105" s="31" t="n"/>
      <c r="B105" s="31" t="n"/>
      <c r="C105" s="31" t="n"/>
      <c r="D105" s="31" t="n"/>
      <c r="E105" s="31" t="n"/>
      <c r="F105" s="31" t="n"/>
      <c r="G105" s="31" t="n"/>
      <c r="H105" s="31" t="n"/>
      <c r="I105" s="31" t="n"/>
      <c r="J105" s="31" t="n"/>
      <c r="K105" s="31" t="n"/>
      <c r="L105" s="31" t="n"/>
    </row>
    <row r="106">
      <c r="A106" s="31" t="n"/>
      <c r="B106" s="31" t="n"/>
      <c r="C106" s="31" t="n"/>
      <c r="D106" s="31" t="n"/>
      <c r="E106" s="31" t="n"/>
      <c r="F106" s="31" t="n"/>
      <c r="G106" s="31" t="n"/>
      <c r="H106" s="31" t="n"/>
      <c r="I106" s="31" t="n"/>
      <c r="J106" s="31" t="n"/>
      <c r="K106" s="31" t="n"/>
      <c r="L106" s="31" t="n"/>
    </row>
    <row r="107">
      <c r="A107" s="31" t="n"/>
      <c r="B107" s="31" t="n"/>
      <c r="C107" s="31" t="n"/>
      <c r="D107" s="31" t="n"/>
      <c r="E107" s="31" t="n"/>
      <c r="F107" s="31" t="n"/>
      <c r="G107" s="31" t="n"/>
      <c r="H107" s="31" t="n"/>
      <c r="I107" s="31" t="n"/>
      <c r="J107" s="31" t="n"/>
      <c r="K107" s="31" t="n"/>
      <c r="L107" s="31" t="n"/>
    </row>
    <row r="108">
      <c r="A108" s="31" t="n"/>
      <c r="B108" s="31" t="n"/>
      <c r="C108" s="31" t="n"/>
      <c r="D108" s="31" t="n"/>
      <c r="E108" s="31" t="n"/>
      <c r="F108" s="31" t="n"/>
      <c r="G108" s="31" t="n"/>
      <c r="H108" s="31" t="n"/>
      <c r="I108" s="31" t="n"/>
      <c r="J108" s="31" t="n"/>
      <c r="K108" s="31" t="n"/>
      <c r="L108" s="31" t="n"/>
    </row>
    <row r="109">
      <c r="A109" s="31" t="n"/>
      <c r="B109" s="31" t="n"/>
      <c r="C109" s="31" t="n"/>
      <c r="D109" s="31" t="n"/>
      <c r="E109" s="31" t="n"/>
      <c r="F109" s="31" t="n"/>
      <c r="G109" s="31" t="n"/>
      <c r="H109" s="31" t="n"/>
      <c r="I109" s="31" t="n"/>
      <c r="J109" s="31" t="n"/>
      <c r="K109" s="31" t="n"/>
      <c r="L109" s="31" t="n"/>
    </row>
    <row r="110">
      <c r="A110" s="31" t="n"/>
      <c r="B110" s="31" t="n"/>
      <c r="C110" s="31" t="n"/>
      <c r="D110" s="31" t="n"/>
      <c r="E110" s="31" t="n"/>
      <c r="F110" s="31" t="n"/>
      <c r="G110" s="31" t="n"/>
      <c r="H110" s="31" t="n"/>
      <c r="I110" s="31" t="n"/>
      <c r="J110" s="31" t="n"/>
      <c r="K110" s="31" t="n"/>
      <c r="L110" s="31" t="n"/>
    </row>
    <row r="111">
      <c r="A111" s="31" t="n"/>
      <c r="B111" s="31" t="n"/>
      <c r="C111" s="31" t="n"/>
      <c r="D111" s="31" t="n"/>
      <c r="E111" s="31" t="n"/>
      <c r="F111" s="31" t="n"/>
      <c r="G111" s="31" t="n"/>
      <c r="H111" s="31" t="n"/>
      <c r="I111" s="31" t="n"/>
      <c r="J111" s="31" t="n"/>
      <c r="K111" s="31" t="n"/>
      <c r="L111" s="31" t="n"/>
    </row>
    <row r="112">
      <c r="A112" s="31" t="n"/>
      <c r="B112" s="31" t="n"/>
      <c r="C112" s="31" t="n"/>
      <c r="D112" s="31" t="n"/>
      <c r="E112" s="31" t="n"/>
      <c r="F112" s="31" t="n"/>
      <c r="G112" s="31" t="n"/>
      <c r="H112" s="31" t="n"/>
      <c r="I112" s="31" t="n"/>
      <c r="J112" s="31" t="n"/>
      <c r="K112" s="31" t="n"/>
      <c r="L112" s="31" t="n"/>
    </row>
    <row r="113">
      <c r="A113" s="31" t="n"/>
      <c r="B113" s="31" t="n"/>
      <c r="C113" s="31" t="n"/>
      <c r="D113" s="31" t="n"/>
      <c r="E113" s="31" t="n"/>
      <c r="F113" s="31" t="n"/>
      <c r="G113" s="31" t="n"/>
      <c r="H113" s="31" t="n"/>
      <c r="I113" s="31" t="n"/>
      <c r="J113" s="31" t="n"/>
      <c r="K113" s="31" t="n"/>
      <c r="L113" s="31" t="n"/>
    </row>
    <row r="114">
      <c r="A114" s="31" t="n"/>
      <c r="B114" s="31" t="n"/>
      <c r="C114" s="31" t="n"/>
      <c r="D114" s="31" t="n"/>
      <c r="E114" s="31" t="n"/>
      <c r="F114" s="31" t="n"/>
      <c r="G114" s="31" t="n"/>
      <c r="H114" s="31" t="n"/>
      <c r="I114" s="31" t="n"/>
      <c r="J114" s="31" t="n"/>
      <c r="K114" s="31" t="n"/>
      <c r="L114" s="31" t="n"/>
    </row>
    <row r="115">
      <c r="A115" s="31" t="n"/>
      <c r="B115" s="31" t="n"/>
      <c r="C115" s="31" t="n"/>
      <c r="D115" s="31" t="n"/>
      <c r="E115" s="31" t="n"/>
      <c r="F115" s="31" t="n"/>
      <c r="G115" s="31" t="n"/>
      <c r="H115" s="31" t="n"/>
      <c r="I115" s="31" t="n"/>
      <c r="J115" s="31" t="n"/>
      <c r="K115" s="31" t="n"/>
      <c r="L115" s="31" t="n"/>
    </row>
    <row r="116">
      <c r="A116" s="31" t="n"/>
      <c r="B116" s="31" t="n"/>
      <c r="C116" s="31" t="n"/>
      <c r="D116" s="31" t="n"/>
      <c r="E116" s="31" t="n"/>
      <c r="F116" s="31" t="n"/>
      <c r="G116" s="31" t="n"/>
      <c r="H116" s="31" t="n"/>
      <c r="I116" s="31" t="n"/>
      <c r="J116" s="31" t="n"/>
      <c r="K116" s="31" t="n"/>
      <c r="L116" s="31" t="n"/>
    </row>
    <row r="117">
      <c r="A117" s="31" t="n"/>
      <c r="B117" s="31" t="n"/>
      <c r="C117" s="31" t="n"/>
      <c r="D117" s="31" t="n"/>
      <c r="E117" s="31" t="n"/>
      <c r="F117" s="31" t="n"/>
      <c r="G117" s="31" t="n"/>
      <c r="H117" s="31" t="n"/>
      <c r="I117" s="31" t="n"/>
      <c r="J117" s="31" t="n"/>
      <c r="K117" s="31" t="n"/>
      <c r="L117" s="31" t="n"/>
    </row>
    <row r="118">
      <c r="A118" s="31" t="n"/>
      <c r="B118" s="31" t="n"/>
      <c r="C118" s="31" t="n"/>
      <c r="D118" s="31" t="n"/>
      <c r="E118" s="31" t="n"/>
      <c r="F118" s="31" t="n"/>
      <c r="G118" s="31" t="n"/>
      <c r="H118" s="31" t="n"/>
      <c r="I118" s="31" t="n"/>
      <c r="J118" s="31" t="n"/>
      <c r="K118" s="31" t="n"/>
      <c r="L118" s="31" t="n"/>
    </row>
    <row r="119">
      <c r="A119" s="31" t="n"/>
      <c r="B119" s="31" t="n"/>
      <c r="C119" s="31" t="n"/>
      <c r="D119" s="31" t="n"/>
      <c r="E119" s="31" t="n"/>
      <c r="F119" s="31" t="n"/>
      <c r="G119" s="31" t="n"/>
      <c r="H119" s="31" t="n"/>
      <c r="I119" s="31" t="n"/>
      <c r="J119" s="31" t="n"/>
      <c r="K119" s="31" t="n"/>
      <c r="L119" s="31" t="n"/>
    </row>
    <row r="120">
      <c r="A120" s="31" t="n"/>
      <c r="B120" s="31" t="n"/>
      <c r="C120" s="31" t="n"/>
      <c r="D120" s="31" t="n"/>
      <c r="E120" s="31" t="n"/>
      <c r="F120" s="31" t="n"/>
      <c r="G120" s="31" t="n"/>
      <c r="H120" s="31" t="n"/>
      <c r="I120" s="31" t="n"/>
      <c r="J120" s="31" t="n"/>
      <c r="K120" s="31" t="n"/>
      <c r="L120" s="31" t="n"/>
    </row>
  </sheetData>
  <autoFilter ref="A2:K33"/>
  <hyperlinks>
    <hyperlink ref="A3" location="'Application Attribute Testing'!A109" display="MA01"/>
    <hyperlink ref="A4" location="'Application Attribute Testing'!A84" display="BLA01"/>
    <hyperlink ref="A5" location="'Application Attribute Testing'!A85" display="BLA02"/>
    <hyperlink ref="A6" location="'Application Attribute Testing'!A86" display="BLA03"/>
    <hyperlink ref="A7" location="'Application Attribute Testing'!A87" display="BLA04"/>
    <hyperlink ref="A8" location="'Application Attribute Testing'!A88" display="BLA05"/>
    <hyperlink ref="A9" location="'Application Attribute Testing'!A89" display="BLA06"/>
    <hyperlink ref="A10" location="'Application Attribute Testing'!A93" display="DMA01"/>
    <hyperlink ref="A11" location="'Application Attribute Testing'!A94" display="DMA02"/>
    <hyperlink ref="A12" location="'Application Attribute Testing'!A95" display="DMA03"/>
    <hyperlink ref="A13" location="'Application Attribute Testing'!A96" display="DMA04"/>
    <hyperlink ref="A14" location="'Application Attribute Testing'!A97" display="DMA05"/>
    <hyperlink ref="A15" location="'Application Attribute Testing'!A98" display="DMA06"/>
    <hyperlink ref="A16" location="'Application Attribute Testing'!A99" display="DMA07"/>
    <hyperlink ref="A17" location="'Application Attribute Testing'!A100" display="DMA08"/>
    <hyperlink ref="A18" location="'Application Attribute Testing'!A101" display="DMA09"/>
    <hyperlink ref="A19" location="'Application Attribute Testing'!A102" display="DMA10"/>
    <hyperlink ref="A20" location="'Application Attribute Testing'!A103" display="DMA11"/>
    <hyperlink ref="A21" location="'Application Attribute Testing'!A104" display="DMA12"/>
    <hyperlink ref="A22" location="'Application Attribute Testing'!A105" display="DMA13"/>
    <hyperlink ref="A23" location="'Application Attribute Testing'!A110" display="E01"/>
    <hyperlink ref="A24" location="'Application Attribute Testing'!A111" display="E02"/>
    <hyperlink ref="A25" location="'Application Attribute Testing'!A112" display="E03"/>
    <hyperlink ref="A26" location="'Application Attribute Testing'!A113" display="E04"/>
    <hyperlink ref="A27" location="'Application Attribute Testing'!A114" display="E05"/>
    <hyperlink ref="A28" location="'Application Attribute Testing'!A115" display="E07"/>
    <hyperlink ref="A29" location="'Application Attribute Testing'!A116" display="E08"/>
    <hyperlink ref="A30" location="'Application Attribute Testing'!A117" display="E09"/>
    <hyperlink ref="A31" location="'Application Attribute Testing'!A118" display="E10"/>
    <hyperlink ref="A32" location="'Application Attribute Testing'!A119" display="E13"/>
    <hyperlink ref="A33" location="'Application Attribute Testing'!A120" display="E16b"/>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18"/>
  <sheetViews>
    <sheetView workbookViewId="0">
      <selection activeCell="C8" sqref="C8"/>
    </sheetView>
  </sheetViews>
  <sheetFormatPr baseColWidth="8" defaultRowHeight="14"/>
  <cols>
    <col width="27.33203125" customWidth="1" style="73" min="2" max="2"/>
    <col width="29.1640625" customWidth="1" style="73" min="3" max="3"/>
  </cols>
  <sheetData>
    <row r="1" customFormat="1" s="27">
      <c r="A1" s="27" t="inlineStr">
        <is>
          <t>Application ID</t>
        </is>
      </c>
      <c r="B1" s="27" t="inlineStr">
        <is>
          <t>Test Name</t>
        </is>
      </c>
      <c r="C1" s="27" t="inlineStr">
        <is>
          <t>Test Date</t>
        </is>
      </c>
      <c r="D1" s="27" t="inlineStr">
        <is>
          <t>Application Test Name</t>
        </is>
      </c>
      <c r="E1" s="27" t="inlineStr">
        <is>
          <t>Application</t>
        </is>
      </c>
      <c r="F1" s="27" t="inlineStr">
        <is>
          <t>Premises</t>
        </is>
      </c>
      <c r="G1" s="27" t="inlineStr">
        <is>
          <t>Criticality Rating</t>
        </is>
      </c>
      <c r="H1" s="27" t="inlineStr">
        <is>
          <t>RTA</t>
        </is>
      </c>
      <c r="I1" s="27" t="inlineStr">
        <is>
          <t>RPA</t>
        </is>
      </c>
      <c r="J1" s="27" t="inlineStr">
        <is>
          <t>Calculated RTO</t>
        </is>
      </c>
      <c r="K1" s="27" t="inlineStr">
        <is>
          <t>Calculated RPO</t>
        </is>
      </c>
      <c r="L1" s="27" t="inlineStr">
        <is>
          <t>Application Test Results</t>
        </is>
      </c>
      <c r="M1" s="27" t="inlineStr">
        <is>
          <t>IT Owner</t>
        </is>
      </c>
      <c r="N1" s="27" t="inlineStr">
        <is>
          <t>IT Owner 2</t>
        </is>
      </c>
      <c r="O1" s="28" t="inlineStr">
        <is>
          <t>BCM App Test Results</t>
        </is>
      </c>
      <c r="P1" s="28" t="inlineStr">
        <is>
          <t>BCM App Test Validation</t>
        </is>
      </c>
      <c r="Q1" s="27" t="inlineStr">
        <is>
          <t>BCM App Test Review Date</t>
        </is>
      </c>
      <c r="R1" s="27" t="inlineStr">
        <is>
          <t>BCM App Test Validation Comments</t>
        </is>
      </c>
      <c r="S1" s="27" t="inlineStr">
        <is>
          <t>BCM App Test Validation Completed By</t>
        </is>
      </c>
      <c r="T1" s="27" t="inlineStr">
        <is>
          <t>Created At</t>
        </is>
      </c>
      <c r="U1" s="27" t="inlineStr">
        <is>
          <t>Created By</t>
        </is>
      </c>
      <c r="V1" s="27" t="inlineStr">
        <is>
          <t>Updated At</t>
        </is>
      </c>
      <c r="W1" s="27" t="inlineStr">
        <is>
          <t>Updated By</t>
        </is>
      </c>
      <c r="X1" s="27" t="inlineStr">
        <is>
          <t>Subsidiary (Permissions)</t>
        </is>
      </c>
      <c r="Y1" s="27" t="inlineStr">
        <is>
          <t>App Subsidiary</t>
        </is>
      </c>
      <c r="Z1" s="27" t="inlineStr">
        <is>
          <t>App Sub Permissions</t>
        </is>
      </c>
      <c r="AA1" s="27" t="inlineStr">
        <is>
          <t>Regulatory Flags</t>
        </is>
      </c>
    </row>
    <row r="2" customFormat="1" s="27">
      <c r="A2" s="27" t="inlineStr">
        <is>
          <t>3285</t>
        </is>
      </c>
      <c r="B2" s="27" t="inlineStr">
        <is>
          <t>2024 Full 2024 DR Test (Virginia)</t>
        </is>
      </c>
      <c r="C2" s="27" t="inlineStr">
        <is>
          <t>10/19/2024</t>
        </is>
      </c>
      <c r="D2" s="27" t="inlineStr">
        <is>
          <t>Avamar - BSI - 2024 Full 2024 DR Test (Virginia)</t>
        </is>
      </c>
      <c r="E2" s="27" t="inlineStr">
        <is>
          <t>Avamar - BSI</t>
        </is>
      </c>
      <c r="F2" s="27" t="inlineStr">
        <is>
          <t>On-Premises</t>
        </is>
      </c>
      <c r="G2" s="27" t="inlineStr">
        <is>
          <t>High</t>
        </is>
      </c>
      <c r="H2" s="27" t="inlineStr">
        <is>
          <t>30:43:30</t>
        </is>
      </c>
      <c r="J2" s="27" t="inlineStr">
        <is>
          <t>0 - 8 hours</t>
        </is>
      </c>
      <c r="K2" s="27" t="inlineStr">
        <is>
          <t>4 - 8 hours</t>
        </is>
      </c>
      <c r="L2" s="27" t="inlineStr">
        <is>
          <t>Successful</t>
        </is>
      </c>
      <c r="M2" s="27" t="inlineStr">
        <is>
          <t>Jose Manuel Oliveros</t>
        </is>
      </c>
      <c r="N2" s="27" t="inlineStr">
        <is>
          <t>Ian Rojo</t>
        </is>
      </c>
      <c r="O2" s="27" t="inlineStr">
        <is>
          <t>Successful</t>
        </is>
      </c>
      <c r="P2" s="27" t="inlineStr">
        <is>
          <t>Validated</t>
        </is>
      </c>
      <c r="Q2" s="27" t="inlineStr">
        <is>
          <t>10/22/2024</t>
        </is>
      </c>
      <c r="S2" s="27" t="inlineStr">
        <is>
          <t>Cesar Vidal</t>
        </is>
      </c>
      <c r="T2" s="27" t="inlineStr">
        <is>
          <t>11/07/2024, 5:35 PM</t>
        </is>
      </c>
      <c r="U2" s="27" t="inlineStr">
        <is>
          <t>Cesar Vidal</t>
        </is>
      </c>
      <c r="V2" s="27" t="inlineStr">
        <is>
          <t>11/07/2024, 5:37 PM</t>
        </is>
      </c>
      <c r="W2" s="27" t="inlineStr">
        <is>
          <t>Cesar Vidal</t>
        </is>
      </c>
      <c r="X2" s="27" t="inlineStr">
        <is>
          <t>Banco Santander International</t>
        </is>
      </c>
      <c r="Y2" s="27" t="inlineStr">
        <is>
          <t>Banco Santander International</t>
        </is>
      </c>
      <c r="Z2" s="27" t="inlineStr">
        <is>
          <t>Banco Santander International</t>
        </is>
      </c>
    </row>
    <row r="3" customFormat="1" s="27">
      <c r="A3" s="27" t="inlineStr">
        <is>
          <t>3346</t>
        </is>
      </c>
      <c r="B3" s="27" t="inlineStr">
        <is>
          <t>2024 Full 2024 DR Test (Virginia)</t>
        </is>
      </c>
      <c r="C3" s="27" t="inlineStr">
        <is>
          <t>10/19/2024</t>
        </is>
      </c>
      <c r="D3" s="27" t="inlineStr">
        <is>
          <t>Zerto - BSI - 2024 Full 2024 DR Test (Virginia)</t>
        </is>
      </c>
      <c r="E3" s="27" t="inlineStr">
        <is>
          <t>Zerto - BSI</t>
        </is>
      </c>
      <c r="F3" s="27" t="inlineStr">
        <is>
          <t>On-Premises</t>
        </is>
      </c>
      <c r="G3" s="27" t="inlineStr">
        <is>
          <t>High</t>
        </is>
      </c>
      <c r="H3" s="27" t="inlineStr">
        <is>
          <t>02:13:00</t>
        </is>
      </c>
      <c r="J3" s="27" t="inlineStr">
        <is>
          <t>0 - 8 hours</t>
        </is>
      </c>
      <c r="K3" s="27" t="inlineStr">
        <is>
          <t>4 - 8 hours</t>
        </is>
      </c>
      <c r="L3" s="27" t="inlineStr">
        <is>
          <t>Successful</t>
        </is>
      </c>
      <c r="M3" s="27" t="inlineStr">
        <is>
          <t>Jose Manuel Oliveros</t>
        </is>
      </c>
      <c r="N3" s="27" t="inlineStr">
        <is>
          <t>Ian Rojo</t>
        </is>
      </c>
      <c r="O3" s="27" t="inlineStr">
        <is>
          <t>Successful</t>
        </is>
      </c>
      <c r="P3" s="27" t="inlineStr">
        <is>
          <t>Validated</t>
        </is>
      </c>
      <c r="Q3" s="27" t="inlineStr">
        <is>
          <t>10/22/2024</t>
        </is>
      </c>
      <c r="S3" s="27" t="inlineStr">
        <is>
          <t>Cesar Vidal</t>
        </is>
      </c>
      <c r="T3" s="27" t="inlineStr">
        <is>
          <t>11/07/2024, 5:24 PM</t>
        </is>
      </c>
      <c r="U3" s="27" t="inlineStr">
        <is>
          <t>Cesar Vidal</t>
        </is>
      </c>
      <c r="V3" s="27" t="inlineStr">
        <is>
          <t>11/07/2024, 5:25 PM</t>
        </is>
      </c>
      <c r="W3" s="27" t="inlineStr">
        <is>
          <t>Cesar Vidal</t>
        </is>
      </c>
      <c r="X3" s="27" t="inlineStr">
        <is>
          <t>Banco Santander International</t>
        </is>
      </c>
      <c r="Y3" s="27" t="inlineStr">
        <is>
          <t>Banco Santander International</t>
        </is>
      </c>
      <c r="Z3" s="27" t="inlineStr">
        <is>
          <t>Banco Santander International</t>
        </is>
      </c>
    </row>
    <row r="4" customFormat="1" s="27">
      <c r="A4" s="27" t="inlineStr">
        <is>
          <t>3311</t>
        </is>
      </c>
      <c r="B4" s="27" t="inlineStr">
        <is>
          <t>2024 Full 2024 DR Test (Virginia)</t>
        </is>
      </c>
      <c r="C4" s="27" t="inlineStr">
        <is>
          <t>10/19/2024</t>
        </is>
      </c>
      <c r="D4" s="27" t="inlineStr">
        <is>
          <t>ServiceNow - BSI - 2024 Full 2024 DR Test (Virginia)</t>
        </is>
      </c>
      <c r="E4" s="27" t="inlineStr">
        <is>
          <t>zzz_Retired: ServiceNow - BSI</t>
        </is>
      </c>
      <c r="F4" s="27" t="inlineStr">
        <is>
          <t>Off-Premises</t>
        </is>
      </c>
      <c r="G4" s="27" t="inlineStr">
        <is>
          <t>No Dependency</t>
        </is>
      </c>
      <c r="H4" s="27" t="inlineStr">
        <is>
          <t>02:57:00</t>
        </is>
      </c>
      <c r="L4" s="27" t="inlineStr">
        <is>
          <t>Successful</t>
        </is>
      </c>
      <c r="M4" s="27" t="inlineStr">
        <is>
          <t>Jose Manuel Oliveros</t>
        </is>
      </c>
      <c r="N4" s="27" t="inlineStr">
        <is>
          <t>Cesar Rubio</t>
        </is>
      </c>
      <c r="O4" s="27" t="inlineStr">
        <is>
          <t>Successful</t>
        </is>
      </c>
      <c r="P4" s="27" t="inlineStr">
        <is>
          <t>Validated</t>
        </is>
      </c>
      <c r="Q4" s="27" t="inlineStr">
        <is>
          <t>10/22/2024</t>
        </is>
      </c>
      <c r="S4" s="27" t="inlineStr">
        <is>
          <t>Cesar Vidal</t>
        </is>
      </c>
      <c r="T4" s="27" t="inlineStr">
        <is>
          <t>11/07/2024, 5:14 PM</t>
        </is>
      </c>
      <c r="U4" s="27" t="inlineStr">
        <is>
          <t>Cesar Vidal</t>
        </is>
      </c>
      <c r="V4" s="27" t="inlineStr">
        <is>
          <t>11/07/2024, 5:15 PM</t>
        </is>
      </c>
      <c r="W4" s="27" t="inlineStr">
        <is>
          <t>Cesar Vidal</t>
        </is>
      </c>
      <c r="X4" s="27" t="inlineStr">
        <is>
          <t>Banco Santander International</t>
        </is>
      </c>
      <c r="Y4" s="27" t="inlineStr">
        <is>
          <t>Retired Subsidiary</t>
        </is>
      </c>
      <c r="Z4" s="27" t="inlineStr">
        <is>
          <t>Banco Santander International</t>
        </is>
      </c>
    </row>
    <row r="5" customFormat="1" s="27">
      <c r="A5" s="27" t="inlineStr">
        <is>
          <t>1834</t>
        </is>
      </c>
      <c r="B5" s="27" t="inlineStr">
        <is>
          <t>2024 Full 2024 DR Test (Virginia)</t>
        </is>
      </c>
      <c r="C5" s="27" t="inlineStr">
        <is>
          <t>10/19/2024</t>
        </is>
      </c>
      <c r="D5" s="27" t="inlineStr">
        <is>
          <t>BLOOMBERG - BSI - 2024 Full 2024 DR Test (Virginia)</t>
        </is>
      </c>
      <c r="E5" s="27" t="inlineStr">
        <is>
          <t>BLOOMBERG - BSI</t>
        </is>
      </c>
      <c r="F5" s="27" t="inlineStr">
        <is>
          <t>Off-Premises</t>
        </is>
      </c>
      <c r="G5" s="27" t="inlineStr">
        <is>
          <t>High</t>
        </is>
      </c>
      <c r="H5" s="27" t="inlineStr">
        <is>
          <t>06:00:00</t>
        </is>
      </c>
      <c r="J5" s="27" t="inlineStr">
        <is>
          <t>0 - 8 hours</t>
        </is>
      </c>
      <c r="K5" s="27" t="inlineStr">
        <is>
          <t>4 - 8 hours</t>
        </is>
      </c>
      <c r="L5" s="27" t="inlineStr">
        <is>
          <t>Successful</t>
        </is>
      </c>
      <c r="M5" s="27" t="inlineStr">
        <is>
          <t>Jose Manuel Oliveros</t>
        </is>
      </c>
      <c r="N5" s="27" t="inlineStr">
        <is>
          <t>Cesar Rubio</t>
        </is>
      </c>
      <c r="O5" s="27" t="inlineStr">
        <is>
          <t>Successful</t>
        </is>
      </c>
      <c r="P5" s="27" t="inlineStr">
        <is>
          <t>Validated</t>
        </is>
      </c>
      <c r="Q5" s="27" t="inlineStr">
        <is>
          <t>10/22/2024</t>
        </is>
      </c>
      <c r="S5" s="27" t="inlineStr">
        <is>
          <t>Jorge Fraga</t>
        </is>
      </c>
      <c r="T5" s="27" t="inlineStr">
        <is>
          <t>06/24/2025, 12:46 PM</t>
        </is>
      </c>
      <c r="U5" s="27" t="inlineStr">
        <is>
          <t>Cesar Vidal</t>
        </is>
      </c>
      <c r="V5" s="27" t="inlineStr">
        <is>
          <t>06/24/2025, 12:48 PM</t>
        </is>
      </c>
      <c r="W5" s="27" t="inlineStr">
        <is>
          <t>Cesar Vidal</t>
        </is>
      </c>
      <c r="X5" s="27" t="inlineStr">
        <is>
          <t>Banco Santander International</t>
        </is>
      </c>
      <c r="Y5" s="27" t="inlineStr">
        <is>
          <t>Banco Santander International</t>
        </is>
      </c>
      <c r="Z5" s="27" t="inlineStr">
        <is>
          <t>Banco Santander International</t>
        </is>
      </c>
    </row>
    <row r="6" customFormat="1" s="27">
      <c r="A6" s="27" t="inlineStr">
        <is>
          <t>1868</t>
        </is>
      </c>
      <c r="B6" s="27" t="inlineStr">
        <is>
          <t>2024 Full 2024 DR Test (Virginia)</t>
        </is>
      </c>
      <c r="C6" s="27" t="inlineStr">
        <is>
          <t>10/19/2024</t>
        </is>
      </c>
      <c r="D6" s="27" t="inlineStr">
        <is>
          <t>FedImport - BSI - 2024 Full 2024 DR Test (Virginia)</t>
        </is>
      </c>
      <c r="E6" s="27" t="inlineStr">
        <is>
          <t>FedImport - BSI</t>
        </is>
      </c>
      <c r="F6" s="27" t="inlineStr">
        <is>
          <t>On-Premises</t>
        </is>
      </c>
      <c r="G6" s="27" t="inlineStr">
        <is>
          <t>High</t>
        </is>
      </c>
      <c r="H6" s="27" t="inlineStr">
        <is>
          <t>03:36:00</t>
        </is>
      </c>
      <c r="J6" s="27" t="inlineStr">
        <is>
          <t>0 - 8 hours</t>
        </is>
      </c>
      <c r="K6" s="27" t="inlineStr">
        <is>
          <t>4 - 8 hours</t>
        </is>
      </c>
      <c r="L6" s="27" t="inlineStr">
        <is>
          <t>Successful</t>
        </is>
      </c>
      <c r="M6" s="27" t="inlineStr">
        <is>
          <t>Jose Manuel Oliveros</t>
        </is>
      </c>
      <c r="N6" s="27" t="inlineStr">
        <is>
          <t>Cesar Rubio</t>
        </is>
      </c>
      <c r="O6" s="27" t="inlineStr">
        <is>
          <t>Successful</t>
        </is>
      </c>
      <c r="P6" s="27" t="inlineStr">
        <is>
          <t>Validated</t>
        </is>
      </c>
      <c r="Q6" s="27" t="inlineStr">
        <is>
          <t>10/22/2024</t>
        </is>
      </c>
      <c r="S6" s="27" t="inlineStr">
        <is>
          <t>Cesar Vidal</t>
        </is>
      </c>
      <c r="T6" s="27" t="inlineStr">
        <is>
          <t>11/07/2024, 4:23 PM</t>
        </is>
      </c>
      <c r="U6" s="27" t="inlineStr">
        <is>
          <t>Cesar Vidal</t>
        </is>
      </c>
      <c r="V6" s="27" t="inlineStr">
        <is>
          <t>11/07/2024, 4:24 PM</t>
        </is>
      </c>
      <c r="W6" s="27" t="inlineStr">
        <is>
          <t>Cesar Vidal</t>
        </is>
      </c>
      <c r="X6" s="27" t="inlineStr">
        <is>
          <t>Banco Santander International</t>
        </is>
      </c>
      <c r="Y6" s="27" t="inlineStr">
        <is>
          <t>Banco Santander International</t>
        </is>
      </c>
      <c r="Z6" s="27" t="inlineStr">
        <is>
          <t>Banco Santander International</t>
        </is>
      </c>
      <c r="AA6" s="27" t="inlineStr">
        <is>
          <t>GLBA</t>
        </is>
      </c>
    </row>
    <row r="7" customFormat="1" s="27">
      <c r="A7" s="27" t="inlineStr">
        <is>
          <t>1867</t>
        </is>
      </c>
      <c r="B7" s="27" t="inlineStr">
        <is>
          <t>2024 Full 2024 DR Test (Virginia)</t>
        </is>
      </c>
      <c r="C7" s="27" t="inlineStr">
        <is>
          <t>10/19/2024</t>
        </is>
      </c>
      <c r="D7" s="27" t="inlineStr">
        <is>
          <t>FedExport - BSI - 2024 Full 2024 DR Test (Virginia)</t>
        </is>
      </c>
      <c r="E7" s="27" t="inlineStr">
        <is>
          <t>FedExport - BSI</t>
        </is>
      </c>
      <c r="F7" s="27" t="inlineStr">
        <is>
          <t>On-Premises</t>
        </is>
      </c>
      <c r="G7" s="27" t="inlineStr">
        <is>
          <t>High</t>
        </is>
      </c>
      <c r="H7" s="27" t="inlineStr">
        <is>
          <t>03:36:00</t>
        </is>
      </c>
      <c r="J7" s="27" t="inlineStr">
        <is>
          <t>0 - 8 hours</t>
        </is>
      </c>
      <c r="K7" s="27" t="inlineStr">
        <is>
          <t>4 - 8 hours</t>
        </is>
      </c>
      <c r="L7" s="27" t="inlineStr">
        <is>
          <t>Successful</t>
        </is>
      </c>
      <c r="M7" s="27" t="inlineStr">
        <is>
          <t>Jose Manuel Oliveros</t>
        </is>
      </c>
      <c r="N7" s="27" t="inlineStr">
        <is>
          <t>Cesar Rubio</t>
        </is>
      </c>
      <c r="O7" s="27" t="inlineStr">
        <is>
          <t>Successful</t>
        </is>
      </c>
      <c r="P7" s="27" t="inlineStr">
        <is>
          <t>Validated</t>
        </is>
      </c>
      <c r="Q7" s="27" t="inlineStr">
        <is>
          <t>10/22/2024</t>
        </is>
      </c>
      <c r="S7" s="27" t="inlineStr">
        <is>
          <t>Cesar Vidal</t>
        </is>
      </c>
      <c r="T7" s="27" t="inlineStr">
        <is>
          <t>11/07/2024, 4:22 PM</t>
        </is>
      </c>
      <c r="U7" s="27" t="inlineStr">
        <is>
          <t>Cesar Vidal</t>
        </is>
      </c>
      <c r="V7" s="27" t="inlineStr">
        <is>
          <t>11/07/2024, 4:23 PM</t>
        </is>
      </c>
      <c r="W7" s="27" t="inlineStr">
        <is>
          <t>Cesar Vidal</t>
        </is>
      </c>
      <c r="X7" s="27" t="inlineStr">
        <is>
          <t>Banco Santander International</t>
        </is>
      </c>
      <c r="Y7" s="27" t="inlineStr">
        <is>
          <t>Banco Santander International</t>
        </is>
      </c>
      <c r="Z7" s="27" t="inlineStr">
        <is>
          <t>Banco Santander International</t>
        </is>
      </c>
      <c r="AA7" s="27" t="inlineStr">
        <is>
          <t>GLBA</t>
        </is>
      </c>
    </row>
    <row r="8" customFormat="1" s="27">
      <c r="A8" s="27" t="inlineStr">
        <is>
          <t>3572</t>
        </is>
      </c>
      <c r="B8" s="27" t="inlineStr">
        <is>
          <t>2024 Full 2024 DR Test (Virginia)</t>
        </is>
      </c>
      <c r="C8" s="27" t="inlineStr">
        <is>
          <t>10/19/2024</t>
        </is>
      </c>
      <c r="D8" s="27" t="inlineStr">
        <is>
          <t>Cyberark - BSI - 2024 Full 2024 DR Test (Virginia)</t>
        </is>
      </c>
      <c r="E8" s="27" t="inlineStr">
        <is>
          <t>Cyberark - BSI</t>
        </is>
      </c>
      <c r="F8" s="27" t="inlineStr">
        <is>
          <t>On-Premises</t>
        </is>
      </c>
      <c r="G8" s="27" t="inlineStr">
        <is>
          <t>High</t>
        </is>
      </c>
      <c r="H8" s="27" t="inlineStr">
        <is>
          <t>02:13:00</t>
        </is>
      </c>
      <c r="J8" s="27" t="inlineStr">
        <is>
          <t>0 - 8 hours</t>
        </is>
      </c>
      <c r="K8" s="27" t="inlineStr">
        <is>
          <t>0 - 4 hours</t>
        </is>
      </c>
      <c r="L8" s="27" t="inlineStr">
        <is>
          <t>Successful</t>
        </is>
      </c>
      <c r="M8" s="27" t="inlineStr">
        <is>
          <t>Jose Manuel Oliveros</t>
        </is>
      </c>
      <c r="N8" s="27" t="inlineStr">
        <is>
          <t>Dayam Borges</t>
        </is>
      </c>
      <c r="O8" s="27" t="inlineStr">
        <is>
          <t>Successful</t>
        </is>
      </c>
      <c r="P8" s="27" t="inlineStr">
        <is>
          <t>Validated</t>
        </is>
      </c>
      <c r="Q8" s="27" t="inlineStr">
        <is>
          <t>10/22/2024</t>
        </is>
      </c>
      <c r="S8" s="27" t="inlineStr">
        <is>
          <t>Cesar Vidal</t>
        </is>
      </c>
      <c r="T8" s="27" t="inlineStr">
        <is>
          <t>11/07/2024, 4:18 PM</t>
        </is>
      </c>
      <c r="U8" s="27" t="inlineStr">
        <is>
          <t>Cesar Vidal</t>
        </is>
      </c>
      <c r="V8" s="27" t="inlineStr">
        <is>
          <t>11/07/2024, 4:19 PM</t>
        </is>
      </c>
      <c r="W8" s="27" t="inlineStr">
        <is>
          <t>Cesar Vidal</t>
        </is>
      </c>
      <c r="X8" s="27" t="inlineStr">
        <is>
          <t>Banco Santander International</t>
        </is>
      </c>
      <c r="Y8" s="27" t="inlineStr">
        <is>
          <t>Banco Santander International</t>
        </is>
      </c>
      <c r="Z8" s="27" t="inlineStr">
        <is>
          <t>Banco Santander International</t>
        </is>
      </c>
    </row>
    <row r="9" customFormat="1" s="27">
      <c r="A9" s="27" t="inlineStr">
        <is>
          <t>1892</t>
        </is>
      </c>
      <c r="B9" s="27" t="inlineStr">
        <is>
          <t>2024 DR TP - Market Axess Business Continuity Test Summary</t>
        </is>
      </c>
      <c r="C9" s="27" t="inlineStr">
        <is>
          <t>10/04/2024</t>
        </is>
      </c>
      <c r="D9" s="27" t="inlineStr">
        <is>
          <t>Market Axess - BSI - 2024 DR TP - Market Axess Business Continuity Test Summary</t>
        </is>
      </c>
      <c r="E9" s="27" t="inlineStr">
        <is>
          <t>Market Axess - BSI</t>
        </is>
      </c>
      <c r="F9" s="27" t="inlineStr">
        <is>
          <t>Off-Premises</t>
        </is>
      </c>
      <c r="G9" s="27" t="inlineStr">
        <is>
          <t>High</t>
        </is>
      </c>
      <c r="H9" s="27" t="inlineStr">
        <is>
          <t>02:00:00</t>
        </is>
      </c>
      <c r="J9" s="27" t="inlineStr">
        <is>
          <t>0 - 8 hours</t>
        </is>
      </c>
      <c r="K9" s="27" t="inlineStr">
        <is>
          <t>4 - 8 hours</t>
        </is>
      </c>
      <c r="L9" s="27" t="inlineStr">
        <is>
          <t>Successful</t>
        </is>
      </c>
      <c r="M9" s="27" t="inlineStr">
        <is>
          <t>Jose Manuel Oliveros</t>
        </is>
      </c>
      <c r="N9" s="27" t="inlineStr">
        <is>
          <t>Cesar Rubio</t>
        </is>
      </c>
      <c r="O9" s="27" t="inlineStr">
        <is>
          <t>Successful</t>
        </is>
      </c>
      <c r="P9" s="27" t="inlineStr">
        <is>
          <t>Validated</t>
        </is>
      </c>
      <c r="Q9" s="27" t="inlineStr">
        <is>
          <t>02/21/2025</t>
        </is>
      </c>
      <c r="S9" s="27" t="inlineStr">
        <is>
          <t>Elizabeth Noda</t>
        </is>
      </c>
      <c r="T9" s="27" t="inlineStr">
        <is>
          <t>09/12/2025, 4:27 PM</t>
        </is>
      </c>
      <c r="U9" s="27" t="inlineStr">
        <is>
          <t>Cesar Vidal</t>
        </is>
      </c>
      <c r="V9" s="27" t="inlineStr">
        <is>
          <t>09/12/2025, 4:29 PM</t>
        </is>
      </c>
      <c r="W9" s="27" t="inlineStr">
        <is>
          <t>Cesar Vidal</t>
        </is>
      </c>
      <c r="X9" s="27" t="inlineStr">
        <is>
          <t>Banco Santander International</t>
        </is>
      </c>
      <c r="Y9" s="27" t="inlineStr">
        <is>
          <t>Banco Santander International</t>
        </is>
      </c>
      <c r="Z9" s="27" t="inlineStr">
        <is>
          <t>Banco Santander International</t>
        </is>
      </c>
    </row>
    <row r="10" customFormat="1" s="27">
      <c r="A10" s="27" t="inlineStr">
        <is>
          <t>1856</t>
        </is>
      </c>
      <c r="B10" s="27" t="inlineStr">
        <is>
          <t>2024-TP-DTCC</t>
        </is>
      </c>
      <c r="C10" s="27" t="inlineStr">
        <is>
          <t>11/09/2024</t>
        </is>
      </c>
      <c r="D10" s="27" t="inlineStr">
        <is>
          <t>DTCC - BSI - 2024 - TP- DTCC</t>
        </is>
      </c>
      <c r="E10" s="27" t="inlineStr">
        <is>
          <t>DTCC - BSI</t>
        </is>
      </c>
      <c r="F10" s="27" t="inlineStr">
        <is>
          <t>Off-Premises</t>
        </is>
      </c>
      <c r="G10" s="27" t="inlineStr">
        <is>
          <t>High</t>
        </is>
      </c>
      <c r="H10" s="27" t="inlineStr">
        <is>
          <t>02:54:00</t>
        </is>
      </c>
      <c r="J10" s="27" t="inlineStr">
        <is>
          <t>0 - 8 hours</t>
        </is>
      </c>
      <c r="K10" s="27" t="inlineStr">
        <is>
          <t>8 - 24 hours</t>
        </is>
      </c>
      <c r="L10" s="27" t="inlineStr">
        <is>
          <t>Successful</t>
        </is>
      </c>
      <c r="M10" s="27" t="inlineStr">
        <is>
          <t>Jose Manuel Oliveros</t>
        </is>
      </c>
      <c r="N10" s="27" t="inlineStr">
        <is>
          <t>Cesar Rubio</t>
        </is>
      </c>
      <c r="O10" s="27" t="inlineStr">
        <is>
          <t>Successful</t>
        </is>
      </c>
      <c r="P10" s="27" t="inlineStr">
        <is>
          <t>Validated</t>
        </is>
      </c>
      <c r="Q10" s="27" t="inlineStr">
        <is>
          <t>02/28/2025</t>
        </is>
      </c>
      <c r="S10" s="27" t="inlineStr">
        <is>
          <t>Jorge Fraga</t>
        </is>
      </c>
      <c r="T10" s="27" t="inlineStr">
        <is>
          <t>08/18/2025, 4:22 PM</t>
        </is>
      </c>
      <c r="U10" s="27" t="inlineStr">
        <is>
          <t>Cesar Vidal</t>
        </is>
      </c>
      <c r="V10" s="27" t="inlineStr">
        <is>
          <t>08/18/2025, 4:33 PM</t>
        </is>
      </c>
      <c r="W10" s="27" t="inlineStr">
        <is>
          <t>Cesar Vidal</t>
        </is>
      </c>
      <c r="X10" s="27" t="inlineStr">
        <is>
          <t>Banco Santander International</t>
        </is>
      </c>
      <c r="Y10" s="27" t="inlineStr">
        <is>
          <t>Banco Santander International</t>
        </is>
      </c>
      <c r="Z10" s="27" t="inlineStr">
        <is>
          <t>Banco Santander International</t>
        </is>
      </c>
    </row>
    <row r="11" customFormat="1" s="27">
      <c r="A11" s="27" t="inlineStr">
        <is>
          <t>1936</t>
        </is>
      </c>
      <c r="B11" s="27" t="inlineStr">
        <is>
          <t>2024 Full 2024 DR Test (Virginia)</t>
        </is>
      </c>
      <c r="C11" s="27" t="inlineStr">
        <is>
          <t>10/19/2024</t>
        </is>
      </c>
      <c r="D11" s="27" t="inlineStr">
        <is>
          <t>Swift Interface - BSI - 2024 Full 2024 DR Test (Virginia)</t>
        </is>
      </c>
      <c r="E11" s="27" t="inlineStr">
        <is>
          <t>Swift Interface - BSI</t>
        </is>
      </c>
      <c r="F11" s="27" t="inlineStr">
        <is>
          <t>On-Premises</t>
        </is>
      </c>
      <c r="G11" s="27" t="inlineStr">
        <is>
          <t>High</t>
        </is>
      </c>
      <c r="H11" s="27" t="inlineStr">
        <is>
          <t>03:52:00</t>
        </is>
      </c>
      <c r="J11" s="27" t="inlineStr">
        <is>
          <t>0 - 8 hours</t>
        </is>
      </c>
      <c r="K11" s="27" t="inlineStr">
        <is>
          <t>4 - 8 hours</t>
        </is>
      </c>
      <c r="L11" s="27" t="inlineStr">
        <is>
          <t>Successful</t>
        </is>
      </c>
      <c r="M11" s="27" t="inlineStr">
        <is>
          <t>Jose Manuel Oliveros</t>
        </is>
      </c>
      <c r="N11" s="27" t="inlineStr">
        <is>
          <t>Cesar Rubio</t>
        </is>
      </c>
      <c r="O11" s="27" t="inlineStr">
        <is>
          <t>Successful</t>
        </is>
      </c>
      <c r="P11" s="27" t="inlineStr">
        <is>
          <t>Validated</t>
        </is>
      </c>
      <c r="Q11" s="27" t="inlineStr">
        <is>
          <t>10/22/2024</t>
        </is>
      </c>
      <c r="S11" s="27" t="inlineStr">
        <is>
          <t>Jorge Fraga</t>
        </is>
      </c>
      <c r="T11" s="27" t="inlineStr">
        <is>
          <t>06/27/2025, 4:55 PM</t>
        </is>
      </c>
      <c r="U11" s="27" t="inlineStr">
        <is>
          <t>Cesar Vidal</t>
        </is>
      </c>
      <c r="V11" s="27" t="inlineStr">
        <is>
          <t>06/27/2025, 4:56 PM</t>
        </is>
      </c>
      <c r="W11" s="27" t="inlineStr">
        <is>
          <t>Cesar Vidal</t>
        </is>
      </c>
      <c r="X11" s="27" t="inlineStr">
        <is>
          <t>Banco Santander International</t>
        </is>
      </c>
      <c r="Y11" s="27" t="inlineStr">
        <is>
          <t>Banco Santander International</t>
        </is>
      </c>
      <c r="Z11" s="27" t="inlineStr">
        <is>
          <t>Banco Santander International</t>
        </is>
      </c>
    </row>
    <row r="12" customFormat="1" s="27">
      <c r="A12" s="27" t="inlineStr">
        <is>
          <t>1892</t>
        </is>
      </c>
      <c r="B12" s="27" t="inlineStr">
        <is>
          <t>2024 Full 2024 DR Test (Virginia)</t>
        </is>
      </c>
      <c r="C12" s="27" t="inlineStr">
        <is>
          <t>10/19/2024</t>
        </is>
      </c>
      <c r="D12" s="27" t="inlineStr">
        <is>
          <t>Market Axess - BSI - 2024 Full 2024 DR Test (Virginia)</t>
        </is>
      </c>
      <c r="E12" s="27" t="inlineStr">
        <is>
          <t>Market Axess - BSI</t>
        </is>
      </c>
      <c r="F12" s="27" t="inlineStr">
        <is>
          <t>Off-Premises</t>
        </is>
      </c>
      <c r="G12" s="27" t="inlineStr">
        <is>
          <t>High</t>
        </is>
      </c>
      <c r="H12" s="27" t="inlineStr">
        <is>
          <t>03:00:00</t>
        </is>
      </c>
      <c r="J12" s="27" t="inlineStr">
        <is>
          <t>0 - 8 hours</t>
        </is>
      </c>
      <c r="K12" s="27" t="inlineStr">
        <is>
          <t>4 - 8 hours</t>
        </is>
      </c>
      <c r="L12" s="27" t="inlineStr">
        <is>
          <t>Successful</t>
        </is>
      </c>
      <c r="M12" s="27" t="inlineStr">
        <is>
          <t>Jose Manuel Oliveros</t>
        </is>
      </c>
      <c r="N12" s="27" t="inlineStr">
        <is>
          <t>Cesar Rubio</t>
        </is>
      </c>
      <c r="O12" s="27" t="inlineStr">
        <is>
          <t>Successful</t>
        </is>
      </c>
      <c r="P12" s="27" t="inlineStr">
        <is>
          <t>Validated</t>
        </is>
      </c>
      <c r="Q12" s="27" t="inlineStr">
        <is>
          <t>10/22/2024</t>
        </is>
      </c>
      <c r="S12" s="27" t="inlineStr">
        <is>
          <t>Jorge Fraga</t>
        </is>
      </c>
      <c r="T12" s="27" t="inlineStr">
        <is>
          <t>06/27/2025, 4:54 PM</t>
        </is>
      </c>
      <c r="U12" s="27" t="inlineStr">
        <is>
          <t>Cesar Vidal</t>
        </is>
      </c>
      <c r="V12" s="27" t="inlineStr">
        <is>
          <t>06/27/2025, 4:54 PM</t>
        </is>
      </c>
      <c r="W12" s="27" t="inlineStr">
        <is>
          <t>Cesar Vidal</t>
        </is>
      </c>
      <c r="X12" s="27" t="inlineStr">
        <is>
          <t>Banco Santander International</t>
        </is>
      </c>
      <c r="Y12" s="27" t="inlineStr">
        <is>
          <t>Banco Santander International</t>
        </is>
      </c>
      <c r="Z12" s="27" t="inlineStr">
        <is>
          <t>Banco Santander International</t>
        </is>
      </c>
    </row>
    <row r="13" customFormat="1" s="27">
      <c r="A13" s="27" t="inlineStr">
        <is>
          <t>1870</t>
        </is>
      </c>
      <c r="B13" s="27" t="inlineStr">
        <is>
          <t>2024 Full 2024 DR Test (Virginia)</t>
        </is>
      </c>
      <c r="C13" s="27" t="inlineStr">
        <is>
          <t>10/19/2024</t>
        </is>
      </c>
      <c r="D13" s="27" t="inlineStr">
        <is>
          <t>Fedline Web - BSI - 2024 Full 2024 DR Test (Virginia)</t>
        </is>
      </c>
      <c r="E13" s="27" t="inlineStr">
        <is>
          <t>Fedline Web - BSI</t>
        </is>
      </c>
      <c r="F13" s="27" t="inlineStr">
        <is>
          <t>Off-Premises</t>
        </is>
      </c>
      <c r="G13" s="27" t="inlineStr">
        <is>
          <t>High</t>
        </is>
      </c>
      <c r="H13" s="27" t="inlineStr">
        <is>
          <t>02:22:00</t>
        </is>
      </c>
      <c r="J13" s="27" t="inlineStr">
        <is>
          <t>0 - 8 hours</t>
        </is>
      </c>
      <c r="K13" s="27" t="inlineStr">
        <is>
          <t>8 - 24 hours</t>
        </is>
      </c>
      <c r="L13" s="27" t="inlineStr">
        <is>
          <t>Successful</t>
        </is>
      </c>
      <c r="M13" s="27" t="inlineStr">
        <is>
          <t>Jose Manuel Oliveros</t>
        </is>
      </c>
      <c r="N13" s="27" t="inlineStr">
        <is>
          <t>Cesar Rubio</t>
        </is>
      </c>
      <c r="O13" s="27" t="inlineStr">
        <is>
          <t>Successful</t>
        </is>
      </c>
      <c r="P13" s="27" t="inlineStr">
        <is>
          <t>Validated</t>
        </is>
      </c>
      <c r="Q13" s="27" t="inlineStr">
        <is>
          <t>10/22/2024</t>
        </is>
      </c>
      <c r="S13" s="27" t="inlineStr">
        <is>
          <t>Jorge Fraga</t>
        </is>
      </c>
      <c r="T13" s="27" t="inlineStr">
        <is>
          <t>06/27/2025, 4:51 PM</t>
        </is>
      </c>
      <c r="U13" s="27" t="inlineStr">
        <is>
          <t>Cesar Vidal</t>
        </is>
      </c>
      <c r="V13" s="27" t="inlineStr">
        <is>
          <t>06/27/2025, 4:53 PM</t>
        </is>
      </c>
      <c r="W13" s="27" t="inlineStr">
        <is>
          <t>Cesar Vidal</t>
        </is>
      </c>
      <c r="X13" s="27" t="inlineStr">
        <is>
          <t>Banco Santander International</t>
        </is>
      </c>
      <c r="Y13" s="27" t="inlineStr">
        <is>
          <t>Banco Santander International</t>
        </is>
      </c>
      <c r="Z13" s="27" t="inlineStr">
        <is>
          <t>Banco Santander International</t>
        </is>
      </c>
    </row>
    <row r="14" customFormat="1" s="27">
      <c r="A14" s="27" t="inlineStr">
        <is>
          <t>3290</t>
        </is>
      </c>
      <c r="B14" s="27" t="inlineStr">
        <is>
          <t>2024 Full 2024 DR Test (Virginia)</t>
        </is>
      </c>
      <c r="C14" s="27" t="inlineStr">
        <is>
          <t>10/19/2024</t>
        </is>
      </c>
      <c r="D14" s="27" t="inlineStr">
        <is>
          <t>Euroclear EasyWay - BSI - 2024 Full 2024 DR Test (Virginia)</t>
        </is>
      </c>
      <c r="E14" s="27" t="inlineStr">
        <is>
          <t>Euroclear EasyWay - BSI</t>
        </is>
      </c>
      <c r="F14" s="27" t="inlineStr">
        <is>
          <t>Off-Premises</t>
        </is>
      </c>
      <c r="G14" s="27" t="inlineStr">
        <is>
          <t>High</t>
        </is>
      </c>
      <c r="H14" s="27" t="inlineStr">
        <is>
          <t>03:08:00</t>
        </is>
      </c>
      <c r="J14" s="27" t="inlineStr">
        <is>
          <t>0 - 8 hours</t>
        </is>
      </c>
      <c r="K14" s="27" t="inlineStr">
        <is>
          <t>8 - 24 hours</t>
        </is>
      </c>
      <c r="L14" s="27" t="inlineStr">
        <is>
          <t>Successful</t>
        </is>
      </c>
      <c r="M14" s="27" t="inlineStr">
        <is>
          <t>Jose Manuel Oliveros</t>
        </is>
      </c>
      <c r="N14" s="27" t="inlineStr">
        <is>
          <t>Cesar Rubio</t>
        </is>
      </c>
      <c r="O14" s="27" t="inlineStr">
        <is>
          <t>Successful</t>
        </is>
      </c>
      <c r="P14" s="27" t="inlineStr">
        <is>
          <t>Validated</t>
        </is>
      </c>
      <c r="Q14" s="27" t="inlineStr">
        <is>
          <t>10/22/2024</t>
        </is>
      </c>
      <c r="S14" s="27" t="inlineStr">
        <is>
          <t>Jorge Fraga</t>
        </is>
      </c>
      <c r="T14" s="27" t="inlineStr">
        <is>
          <t>06/24/2025, 1:18 PM</t>
        </is>
      </c>
      <c r="U14" s="27" t="inlineStr">
        <is>
          <t>Cesar Vidal</t>
        </is>
      </c>
      <c r="V14" s="27" t="inlineStr">
        <is>
          <t>06/24/2025, 3:32 PM</t>
        </is>
      </c>
      <c r="W14" s="27" t="inlineStr">
        <is>
          <t>Cesar Vidal</t>
        </is>
      </c>
      <c r="X14" s="27" t="inlineStr">
        <is>
          <t>Banco Santander International</t>
        </is>
      </c>
      <c r="Y14" s="27" t="inlineStr">
        <is>
          <t>Banco Santander International</t>
        </is>
      </c>
      <c r="Z14" s="27" t="inlineStr">
        <is>
          <t>Banco Santander International</t>
        </is>
      </c>
    </row>
    <row r="15" customFormat="1" s="27">
      <c r="A15" s="27" t="inlineStr">
        <is>
          <t>1856</t>
        </is>
      </c>
      <c r="B15" s="27" t="inlineStr">
        <is>
          <t>2024 Full 2024 DR Test (Virginia)</t>
        </is>
      </c>
      <c r="C15" s="27" t="inlineStr">
        <is>
          <t>10/19/2024</t>
        </is>
      </c>
      <c r="D15" s="27" t="inlineStr">
        <is>
          <t>DTCC - BSI - 2024 Full 2024 DR Test (Virginia)</t>
        </is>
      </c>
      <c r="E15" s="27" t="inlineStr">
        <is>
          <t>DTCC - BSI</t>
        </is>
      </c>
      <c r="F15" s="27" t="inlineStr">
        <is>
          <t>Off-Premises</t>
        </is>
      </c>
      <c r="G15" s="27" t="inlineStr">
        <is>
          <t>High</t>
        </is>
      </c>
      <c r="H15" s="27" t="inlineStr">
        <is>
          <t>04:06:00</t>
        </is>
      </c>
      <c r="J15" s="27" t="inlineStr">
        <is>
          <t>0 - 8 hours</t>
        </is>
      </c>
      <c r="K15" s="27" t="inlineStr">
        <is>
          <t>8 - 24 hours</t>
        </is>
      </c>
      <c r="L15" s="27" t="inlineStr">
        <is>
          <t>Successful</t>
        </is>
      </c>
      <c r="M15" s="27" t="inlineStr">
        <is>
          <t>Jose Manuel Oliveros</t>
        </is>
      </c>
      <c r="N15" s="27" t="inlineStr">
        <is>
          <t>Cesar Rubio</t>
        </is>
      </c>
      <c r="O15" s="27" t="inlineStr">
        <is>
          <t>Successful</t>
        </is>
      </c>
      <c r="P15" s="27" t="inlineStr">
        <is>
          <t>Validated</t>
        </is>
      </c>
      <c r="Q15" s="27" t="inlineStr">
        <is>
          <t>10/22/2024</t>
        </is>
      </c>
      <c r="S15" s="27" t="inlineStr">
        <is>
          <t>Jorge Fraga</t>
        </is>
      </c>
      <c r="T15" s="27" t="inlineStr">
        <is>
          <t>06/24/2025, 1:14 PM</t>
        </is>
      </c>
      <c r="U15" s="27" t="inlineStr">
        <is>
          <t>Cesar Vidal</t>
        </is>
      </c>
      <c r="V15" s="27" t="inlineStr">
        <is>
          <t>06/24/2025, 1:18 PM</t>
        </is>
      </c>
      <c r="W15" s="27" t="inlineStr">
        <is>
          <t>Cesar Vidal</t>
        </is>
      </c>
      <c r="X15" s="27" t="inlineStr">
        <is>
          <t>Banco Santander International</t>
        </is>
      </c>
      <c r="Y15" s="27" t="inlineStr">
        <is>
          <t>Banco Santander International</t>
        </is>
      </c>
      <c r="Z15" s="27" t="inlineStr">
        <is>
          <t>Banco Santander International</t>
        </is>
      </c>
    </row>
    <row r="16" customFormat="1" s="27">
      <c r="A16" s="27" t="inlineStr">
        <is>
          <t>4569</t>
        </is>
      </c>
      <c r="B16" s="27" t="inlineStr">
        <is>
          <t>2024 Full 2024 DR Test (Virginia)</t>
        </is>
      </c>
      <c r="C16" s="27" t="inlineStr">
        <is>
          <t>10/19/2024</t>
        </is>
      </c>
      <c r="D16" s="27" t="inlineStr">
        <is>
          <t>Appian BSI - Workflows - 2024 Full 2024 DR Test (Virginia)</t>
        </is>
      </c>
      <c r="E16" s="27" t="inlineStr">
        <is>
          <t>Appian BSI - Workflows</t>
        </is>
      </c>
      <c r="F16" s="27" t="inlineStr">
        <is>
          <t>On-Premises</t>
        </is>
      </c>
      <c r="G16" s="27" t="inlineStr">
        <is>
          <t>High</t>
        </is>
      </c>
      <c r="H16" s="27" t="inlineStr">
        <is>
          <t>02:00:00</t>
        </is>
      </c>
      <c r="J16" s="27" t="inlineStr">
        <is>
          <t>0 - 8 hours</t>
        </is>
      </c>
      <c r="K16" s="27" t="inlineStr">
        <is>
          <t>4 - 8 hours</t>
        </is>
      </c>
      <c r="L16" s="27" t="inlineStr">
        <is>
          <t>Successful</t>
        </is>
      </c>
      <c r="M16" s="27" t="inlineStr">
        <is>
          <t>Jose Manuel Oliveros</t>
        </is>
      </c>
      <c r="N16" s="27" t="inlineStr">
        <is>
          <t>Cesar Rubio</t>
        </is>
      </c>
      <c r="O16" s="27" t="inlineStr">
        <is>
          <t>Successful</t>
        </is>
      </c>
      <c r="P16" s="27" t="inlineStr">
        <is>
          <t>Validated</t>
        </is>
      </c>
      <c r="Q16" s="27" t="inlineStr">
        <is>
          <t>10/22/2024</t>
        </is>
      </c>
      <c r="S16" s="27" t="inlineStr">
        <is>
          <t>Cesar Vidal</t>
        </is>
      </c>
      <c r="T16" s="27" t="inlineStr">
        <is>
          <t>11/07/2024, 3:53 PM</t>
        </is>
      </c>
      <c r="U16" s="27" t="inlineStr">
        <is>
          <t>Cesar Vidal</t>
        </is>
      </c>
      <c r="V16" s="27" t="inlineStr">
        <is>
          <t>11/07/2024, 3:54 PM</t>
        </is>
      </c>
      <c r="W16" s="27" t="inlineStr">
        <is>
          <t>Cesar Vidal</t>
        </is>
      </c>
      <c r="X16" s="27" t="inlineStr">
        <is>
          <t>Banco Santander International</t>
        </is>
      </c>
      <c r="Y16" s="27" t="inlineStr">
        <is>
          <t>Banco Santander International</t>
        </is>
      </c>
      <c r="Z16" s="27" t="inlineStr">
        <is>
          <t>Banco Santander International</t>
        </is>
      </c>
      <c r="AA16" s="27" t="inlineStr">
        <is>
          <t>GLBA</t>
        </is>
      </c>
    </row>
    <row r="17" ht="14.5" customFormat="1" customHeight="1" s="29">
      <c r="A17" s="29" t="n">
        <v>1903</v>
      </c>
      <c r="B17" s="29" t="inlineStr">
        <is>
          <t>2024 Full 2024 DR Test (Virginia)</t>
        </is>
      </c>
      <c r="C17" s="29" t="inlineStr">
        <is>
          <t>10/19/2024</t>
        </is>
      </c>
      <c r="D17" s="29" t="inlineStr">
        <is>
          <t>OFAC - BSI - 2024 Full 2024 DR Test (Virginia)</t>
        </is>
      </c>
      <c r="E17" s="29" t="inlineStr">
        <is>
          <t>OFAC - BSI</t>
        </is>
      </c>
      <c r="F17" s="29" t="inlineStr">
        <is>
          <t>On-Premises</t>
        </is>
      </c>
      <c r="G17" s="29" t="inlineStr">
        <is>
          <t>High</t>
        </is>
      </c>
      <c r="H17" s="29" t="inlineStr">
        <is>
          <t>03:59:00</t>
        </is>
      </c>
      <c r="J17" s="29" t="inlineStr">
        <is>
          <t>0 - 8 hours</t>
        </is>
      </c>
      <c r="K17" s="29" t="inlineStr">
        <is>
          <t>4 - 8 hours</t>
        </is>
      </c>
      <c r="L17" s="29" t="inlineStr">
        <is>
          <t>Successful</t>
        </is>
      </c>
      <c r="M17" s="29" t="inlineStr">
        <is>
          <t>Jose Manuel Oliveros</t>
        </is>
      </c>
      <c r="N17" s="29" t="inlineStr">
        <is>
          <t>Cesar Rubio</t>
        </is>
      </c>
      <c r="O17" s="29" t="inlineStr">
        <is>
          <t>Successful</t>
        </is>
      </c>
      <c r="P17" s="29" t="inlineStr">
        <is>
          <t>Validated</t>
        </is>
      </c>
      <c r="Q17" s="29" t="inlineStr">
        <is>
          <t>10/22/2024</t>
        </is>
      </c>
      <c r="T17" s="29" t="inlineStr">
        <is>
          <t>10/24/2024, 11:39 AM</t>
        </is>
      </c>
      <c r="U17" s="29" t="inlineStr">
        <is>
          <t>Jorge Fraga</t>
        </is>
      </c>
      <c r="V17" s="29" t="inlineStr">
        <is>
          <t>10/24/2024, 11:40 AM</t>
        </is>
      </c>
      <c r="W17" s="29" t="inlineStr">
        <is>
          <t>Jorge Fraga</t>
        </is>
      </c>
      <c r="X17" s="29" t="inlineStr">
        <is>
          <t>Banco Santander International</t>
        </is>
      </c>
      <c r="Y17" s="29" t="inlineStr">
        <is>
          <t>Banco Santander International</t>
        </is>
      </c>
      <c r="Z17" s="29" t="inlineStr">
        <is>
          <t>Banco Santander International</t>
        </is>
      </c>
      <c r="AA17" s="29" t="inlineStr">
        <is>
          <t>GLBA</t>
        </is>
      </c>
    </row>
    <row r="18" customFormat="1" s="27">
      <c r="A18" s="27" t="inlineStr">
        <is>
          <t>1871</t>
        </is>
      </c>
      <c r="B18" s="27" t="inlineStr">
        <is>
          <t>2024 Full 2024 DR Test (Virginia)</t>
        </is>
      </c>
      <c r="C18" s="27" t="inlineStr">
        <is>
          <t>10/19/2024</t>
        </is>
      </c>
      <c r="D18" s="27" t="inlineStr">
        <is>
          <t>Fedlink - BSI - 2024 Full 2024 DR Test (Virginia)</t>
        </is>
      </c>
      <c r="E18" s="27" t="inlineStr">
        <is>
          <t>Fedlink - BSI</t>
        </is>
      </c>
      <c r="F18" s="27" t="inlineStr">
        <is>
          <t>On-Premises</t>
        </is>
      </c>
      <c r="G18" s="27" t="inlineStr">
        <is>
          <t>High</t>
        </is>
      </c>
      <c r="H18" s="27" t="inlineStr">
        <is>
          <t>03:59:00</t>
        </is>
      </c>
      <c r="J18" s="27" t="inlineStr">
        <is>
          <t>0 - 8 hours</t>
        </is>
      </c>
      <c r="K18" s="27" t="inlineStr">
        <is>
          <t>4 - 8 hours</t>
        </is>
      </c>
      <c r="L18" s="27" t="inlineStr">
        <is>
          <t>Successful</t>
        </is>
      </c>
      <c r="M18" s="27" t="inlineStr">
        <is>
          <t>Jose Manuel Oliveros</t>
        </is>
      </c>
      <c r="N18" s="27" t="inlineStr">
        <is>
          <t>Cesar Rubio</t>
        </is>
      </c>
      <c r="O18" s="27" t="inlineStr">
        <is>
          <t>Successful</t>
        </is>
      </c>
      <c r="P18" s="27" t="inlineStr">
        <is>
          <t>Validated</t>
        </is>
      </c>
      <c r="Q18" s="27" t="inlineStr">
        <is>
          <t>10/22/2024</t>
        </is>
      </c>
      <c r="T18" s="27" t="inlineStr">
        <is>
          <t>10/24/2024, 11:35 AM</t>
        </is>
      </c>
      <c r="U18" s="27" t="inlineStr">
        <is>
          <t>Jorge Fraga</t>
        </is>
      </c>
      <c r="V18" s="27" t="inlineStr">
        <is>
          <t>10/24/2024, 11:37 AM</t>
        </is>
      </c>
      <c r="W18" s="27" t="inlineStr">
        <is>
          <t>Jorge Fraga</t>
        </is>
      </c>
      <c r="X18" s="27" t="inlineStr">
        <is>
          <t>Banco Santander International</t>
        </is>
      </c>
      <c r="Y18" s="27" t="inlineStr">
        <is>
          <t>Banco Santander International</t>
        </is>
      </c>
      <c r="Z18" s="27" t="inlineStr">
        <is>
          <t>Banco Santander International</t>
        </is>
      </c>
      <c r="AA18" s="27" t="inlineStr">
        <is>
          <t>GLBA</t>
        </is>
      </c>
    </row>
    <row r="19" customFormat="1" s="27"/>
    <row r="20" customFormat="1" s="27"/>
    <row r="21" customFormat="1" s="27"/>
    <row r="22" customFormat="1" s="27"/>
    <row r="23" customFormat="1" s="27"/>
    <row r="24" customFormat="1" s="27"/>
    <row r="25" customFormat="1" s="27"/>
    <row r="26" customFormat="1" s="27"/>
    <row r="27" customFormat="1" s="27"/>
    <row r="28" customFormat="1" s="27"/>
    <row r="29" customFormat="1" s="27"/>
    <row r="30" customFormat="1" s="27"/>
    <row r="31" customFormat="1" s="27"/>
    <row r="32" customFormat="1" s="27"/>
    <row r="33" customFormat="1" s="27"/>
    <row r="34" customFormat="1" s="27"/>
    <row r="35" customFormat="1" s="27"/>
    <row r="36" customFormat="1" s="27"/>
    <row r="37" customFormat="1" s="27"/>
    <row r="38" customFormat="1" s="27"/>
    <row r="39" customFormat="1" s="27"/>
    <row r="40" customFormat="1" s="27"/>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2026-09-25T02:02:13Z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