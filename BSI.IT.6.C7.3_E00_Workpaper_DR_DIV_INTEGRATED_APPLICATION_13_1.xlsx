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4" activeTab="5" autoFilterDateGrouping="1"/>
  </bookViews>
  <sheets>
    <sheet name="WP Summary" sheetId="1" state="visible" r:id="rId1"/>
    <sheet name="Scope Population" sheetId="2" state="visible" r:id="rId2"/>
    <sheet name="Application Attribute Testing-1" sheetId="3" state="visible" r:id="rId3"/>
    <sheet name="Application Attribute Testing" sheetId="4" state="hidden" r:id="rId4"/>
    <sheet name="Testing Attributes Testing -2" sheetId="5" state="visible" r:id="rId5"/>
    <sheet name="Testing Results Conclusion" sheetId="6" state="visible" r:id="rId6"/>
    <sheet name="Evidence reference table" sheetId="7" state="visible" r:id="rId7"/>
    <sheet name="BSI.IT.6.C7.3 Evidence Map" sheetId="8" state="hidden" r:id="rId8"/>
    <sheet name="BSI.IT.6.C7.3 Evidence Index" sheetId="9" state="hidden" r:id="rId9"/>
    <sheet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7">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sz val="9"/>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s>
  <fills count="19">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indexed="64"/>
      </left>
      <right/>
      <top style="thin">
        <color indexed="64"/>
      </top>
      <bottom style="thin">
        <color indexed="64"/>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9"/>
  </cellStyleXfs>
  <cellXfs count="10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5"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8" fillId="3" borderId="0" applyAlignment="1" pivotButton="0" quotePrefix="0" xfId="0">
      <alignment vertical="center" wrapText="1"/>
    </xf>
    <xf numFmtId="0" fontId="7" fillId="0" borderId="0" applyAlignment="1" pivotButton="0" quotePrefix="0" xfId="0">
      <alignment wrapText="1"/>
    </xf>
    <xf numFmtId="0" fontId="6" fillId="4" borderId="0" applyAlignment="1" pivotButton="0" quotePrefix="0" xfId="0">
      <alignment horizontal="center" vertical="center" wrapText="1"/>
    </xf>
    <xf numFmtId="0" fontId="9" fillId="5" borderId="0" applyAlignment="1" pivotButton="0" quotePrefix="0" xfId="0">
      <alignment horizontal="center" wrapText="1"/>
    </xf>
    <xf numFmtId="0" fontId="11" fillId="7" borderId="0" applyAlignment="1" pivotButton="0" quotePrefix="0" xfId="0">
      <alignment wrapText="1"/>
    </xf>
    <xf numFmtId="0" fontId="16" fillId="5" borderId="0" applyAlignment="1" pivotButton="0" quotePrefix="0" xfId="0">
      <alignment horizontal="center" wrapText="1"/>
    </xf>
    <xf numFmtId="0" fontId="7" fillId="0" borderId="0" applyAlignment="1" pivotButton="0" quotePrefix="0" xfId="0">
      <alignment horizontal="center" wrapText="1"/>
    </xf>
    <xf numFmtId="0" fontId="17" fillId="0" borderId="0" pivotButton="0" quotePrefix="0" xfId="0"/>
    <xf numFmtId="0" fontId="6" fillId="9" borderId="11" applyAlignment="1" pivotButton="0" quotePrefix="0" xfId="0">
      <alignment horizontal="center" vertical="center" wrapText="1"/>
    </xf>
    <xf numFmtId="0" fontId="18" fillId="0" borderId="11" applyAlignment="1" pivotButton="0" quotePrefix="0" xfId="0">
      <alignment vertical="top" wrapText="1"/>
    </xf>
    <xf numFmtId="0" fontId="19" fillId="0" borderId="0" pivotButton="0" quotePrefix="0" xfId="0"/>
    <xf numFmtId="0" fontId="0" fillId="0" borderId="9" pivotButton="0" quotePrefix="0" xfId="0"/>
    <xf numFmtId="0" fontId="0" fillId="11" borderId="9" pivotButton="0" quotePrefix="0" xfId="0"/>
    <xf numFmtId="0" fontId="20" fillId="0" borderId="9" pivotButton="0" quotePrefix="0" xfId="0"/>
    <xf numFmtId="0" fontId="21" fillId="12" borderId="0" pivotButton="0" quotePrefix="0" xfId="0"/>
    <xf numFmtId="0" fontId="22" fillId="12" borderId="9" pivotButton="0" quotePrefix="0" xfId="0"/>
    <xf numFmtId="0" fontId="22" fillId="12" borderId="0" pivotButton="0" quotePrefix="0" xfId="0"/>
    <xf numFmtId="0" fontId="23" fillId="12" borderId="0" pivotButton="0" quotePrefix="0" xfId="0"/>
    <xf numFmtId="0" fontId="23" fillId="12" borderId="9" pivotButton="0" quotePrefix="0" xfId="0"/>
    <xf numFmtId="0" fontId="24" fillId="12" borderId="11" applyAlignment="1" pivotButton="0" quotePrefix="0" xfId="0">
      <alignment vertical="center" wrapText="1"/>
    </xf>
    <xf numFmtId="0" fontId="25" fillId="12" borderId="0" pivotButton="0" quotePrefix="0" xfId="0"/>
    <xf numFmtId="0" fontId="26" fillId="13" borderId="10" pivotButton="0" quotePrefix="0" xfId="0"/>
    <xf numFmtId="0" fontId="26" fillId="0" borderId="9" pivotButton="0" quotePrefix="0" xfId="0"/>
    <xf numFmtId="0" fontId="26" fillId="13" borderId="9" pivotButton="0" quotePrefix="0" xfId="0"/>
    <xf numFmtId="0" fontId="6" fillId="15" borderId="10" applyAlignment="1" pivotButton="0" quotePrefix="0" xfId="0">
      <alignment horizontal="center" vertical="center" wrapText="1"/>
    </xf>
    <xf numFmtId="0" fontId="26" fillId="0" borderId="10" pivotButton="0" quotePrefix="0" xfId="0"/>
    <xf numFmtId="0" fontId="12" fillId="13" borderId="10" applyAlignment="1" pivotButton="0" quotePrefix="0" xfId="0">
      <alignment vertical="top" wrapText="1"/>
    </xf>
    <xf numFmtId="0" fontId="13" fillId="13" borderId="10" applyAlignment="1" pivotButton="0" quotePrefix="0" xfId="0">
      <alignment horizontal="center" vertical="top" wrapText="1"/>
    </xf>
    <xf numFmtId="0" fontId="15" fillId="13" borderId="10" applyAlignment="1" pivotButton="0" quotePrefix="0" xfId="0">
      <alignment vertical="top" wrapText="1"/>
    </xf>
    <xf numFmtId="0" fontId="26" fillId="13" borderId="10" applyAlignment="1" pivotButton="0" quotePrefix="0" xfId="0">
      <alignment vertical="top" wrapText="1"/>
    </xf>
    <xf numFmtId="0" fontId="30" fillId="12" borderId="11" applyAlignment="1" pivotButton="0" quotePrefix="0" xfId="0">
      <alignment vertical="center" wrapText="1"/>
    </xf>
    <xf numFmtId="0" fontId="29" fillId="13" borderId="10" applyAlignment="1" pivotButton="0" quotePrefix="0" xfId="0">
      <alignment vertical="top" wrapText="1"/>
    </xf>
    <xf numFmtId="0" fontId="31" fillId="12" borderId="11" applyAlignment="1" pivotButton="0" quotePrefix="0" xfId="0">
      <alignment vertical="center" wrapText="1"/>
    </xf>
    <xf numFmtId="0" fontId="32" fillId="0" borderId="0" pivotButton="0" quotePrefix="0" xfId="0"/>
    <xf numFmtId="0" fontId="0" fillId="0" borderId="0" pivotButton="0" quotePrefix="0" xfId="0"/>
    <xf numFmtId="0" fontId="10" fillId="6" borderId="9" applyAlignment="1" pivotButton="0" quotePrefix="0" xfId="0">
      <alignment vertical="center" wrapText="1"/>
    </xf>
    <xf numFmtId="0" fontId="3" fillId="8" borderId="0" pivotButton="0" quotePrefix="0" xfId="0"/>
    <xf numFmtId="0" fontId="33" fillId="17" borderId="14" pivotButton="0" quotePrefix="0" xfId="0"/>
    <xf numFmtId="0" fontId="0" fillId="0" borderId="15" pivotButton="0" quotePrefix="0" xfId="0"/>
    <xf numFmtId="0" fontId="0" fillId="0" borderId="16" pivotButton="0" quotePrefix="0" xfId="0"/>
    <xf numFmtId="0" fontId="30" fillId="0" borderId="0" pivotButton="0" quotePrefix="0" xfId="0"/>
    <xf numFmtId="0" fontId="7" fillId="0" borderId="9" applyAlignment="1" pivotButton="0" quotePrefix="0" xfId="0">
      <alignment vertical="top" wrapText="1"/>
    </xf>
    <xf numFmtId="0" fontId="28" fillId="0" borderId="0" applyAlignment="1" pivotButton="0" quotePrefix="0" xfId="0">
      <alignment vertical="center" wrapText="1"/>
    </xf>
    <xf numFmtId="0" fontId="1" fillId="2" borderId="9" applyAlignment="1" pivotButton="0" quotePrefix="0" xfId="0">
      <alignment horizontal="left" vertical="center" wrapText="1"/>
    </xf>
    <xf numFmtId="0" fontId="18" fillId="0" borderId="14" pivotButton="0" quotePrefix="0" xfId="0"/>
    <xf numFmtId="0" fontId="5"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0" fillId="0" borderId="9" applyAlignment="1" pivotButton="0" quotePrefix="0" xfId="0">
      <alignment vertical="top" wrapText="1"/>
    </xf>
    <xf numFmtId="0" fontId="0" fillId="0" borderId="9" pivotButton="0" quotePrefix="0" xfId="0"/>
    <xf numFmtId="0" fontId="0" fillId="18" borderId="9" pivotButton="0" quotePrefix="0" xfId="0"/>
    <xf numFmtId="0" fontId="6" fillId="18" borderId="9" applyAlignment="1" pivotButton="0" quotePrefix="0" xfId="0">
      <alignment horizontal="center" vertical="center" wrapText="1"/>
    </xf>
    <xf numFmtId="0" fontId="0" fillId="18" borderId="9" pivotButton="0" quotePrefix="0" xfId="0"/>
    <xf numFmtId="0" fontId="27" fillId="18" borderId="9" applyAlignment="1" pivotButton="0" quotePrefix="0" xfId="0">
      <alignment horizontal="center" vertical="top"/>
    </xf>
    <xf numFmtId="0" fontId="29" fillId="18" borderId="9" applyAlignment="1" pivotButton="0" quotePrefix="0" xfId="0">
      <alignment horizontal="center" vertical="top"/>
    </xf>
    <xf numFmtId="0" fontId="14" fillId="8" borderId="10" applyAlignment="1" pivotButton="0" quotePrefix="0" xfId="0">
      <alignment vertical="center"/>
    </xf>
    <xf numFmtId="0" fontId="0" fillId="0" borderId="10" pivotButton="0" quotePrefix="0" xfId="0"/>
    <xf numFmtId="0" fontId="6" fillId="9" borderId="10" applyAlignment="1" pivotButton="0" quotePrefix="0" xfId="0">
      <alignment horizontal="center" vertical="center" wrapText="1"/>
    </xf>
    <xf numFmtId="0" fontId="0" fillId="0" borderId="10" pivotButton="0" quotePrefix="0" xfId="0"/>
    <xf numFmtId="0" fontId="29" fillId="10" borderId="10" applyAlignment="1" pivotButton="0" quotePrefix="0" xfId="0">
      <alignment vertical="top" wrapText="1"/>
    </xf>
    <xf numFmtId="0" fontId="18" fillId="10" borderId="10" applyAlignment="1" pivotButton="0" quotePrefix="0" xfId="0">
      <alignment vertical="top" wrapText="1"/>
    </xf>
    <xf numFmtId="0" fontId="15" fillId="16" borderId="10" applyAlignment="1" pivotButton="0" quotePrefix="0" xfId="0">
      <alignment horizontal="center" vertical="top" wrapText="1"/>
    </xf>
    <xf numFmtId="0" fontId="27" fillId="10" borderId="10" applyAlignment="1" pivotButton="0" quotePrefix="0" xfId="0">
      <alignment vertical="top" wrapText="1"/>
    </xf>
    <xf numFmtId="0" fontId="28" fillId="10" borderId="10" applyAlignment="1" pivotButton="0" quotePrefix="0" xfId="0">
      <alignment horizontal="center" vertical="top" wrapText="1"/>
    </xf>
    <xf numFmtId="0" fontId="27" fillId="10" borderId="10" applyAlignment="1" pivotButton="0" quotePrefix="0" xfId="0">
      <alignment horizontal="center" vertical="top" wrapText="1"/>
    </xf>
    <xf numFmtId="0" fontId="14" fillId="8" borderId="10" applyAlignment="1" pivotButton="0" quotePrefix="0" xfId="0">
      <alignment horizontal="center" vertical="center"/>
    </xf>
    <xf numFmtId="0" fontId="0" fillId="0" borderId="10" applyAlignment="1" pivotButton="0" quotePrefix="0" xfId="0">
      <alignment horizontal="center"/>
    </xf>
    <xf numFmtId="0" fontId="0" fillId="18" borderId="0" pivotButton="0" quotePrefix="0" xfId="0"/>
    <xf numFmtId="0" fontId="6" fillId="18" borderId="0" applyAlignment="1" pivotButton="0" quotePrefix="0" xfId="0">
      <alignment horizontal="center" vertical="center" wrapText="1"/>
    </xf>
    <xf numFmtId="0" fontId="0" fillId="18" borderId="0" pivotButton="0" quotePrefix="0" xfId="0"/>
    <xf numFmtId="0" fontId="29" fillId="18" borderId="16" applyAlignment="1" pivotButton="0" quotePrefix="0" xfId="0">
      <alignment horizontal="center" vertical="top"/>
    </xf>
    <xf numFmtId="0" fontId="29" fillId="18" borderId="14" applyAlignment="1" pivotButton="0" quotePrefix="0" xfId="0">
      <alignment horizontal="center" vertical="top"/>
    </xf>
    <xf numFmtId="0" fontId="12" fillId="10" borderId="10" applyAlignment="1" pivotButton="0" quotePrefix="0" xfId="0">
      <alignment vertical="top" wrapText="1"/>
    </xf>
    <xf numFmtId="0" fontId="13" fillId="13" borderId="10" applyAlignment="1" pivotButton="0" quotePrefix="0" xfId="0">
      <alignment horizontal="left" vertical="top" wrapText="1"/>
    </xf>
    <xf numFmtId="0" fontId="1" fillId="14" borderId="12" applyAlignment="1" pivotButton="0" quotePrefix="0" xfId="0">
      <alignment horizontal="left" vertical="center"/>
    </xf>
    <xf numFmtId="0" fontId="1" fillId="14" borderId="17" applyAlignment="1" pivotButton="0" quotePrefix="0" xfId="0">
      <alignment horizontal="left" vertical="center"/>
    </xf>
    <xf numFmtId="0" fontId="1" fillId="14" borderId="13" applyAlignment="1" pivotButton="0" quotePrefix="0" xfId="0">
      <alignment horizontal="left" vertical="center"/>
    </xf>
    <xf numFmtId="0" fontId="3" fillId="8" borderId="9" pivotButton="0" quotePrefix="0" xfId="0"/>
    <xf numFmtId="0" fontId="28" fillId="0" borderId="9" applyAlignment="1" pivotButton="0" quotePrefix="0" xfId="0">
      <alignment vertical="center" wrapText="1"/>
    </xf>
    <xf numFmtId="0" fontId="30"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35" fillId="15" borderId="10" applyAlignment="1" pivotButton="0" quotePrefix="0" xfId="0">
      <alignment horizontal="center" vertical="center" wrapText="1"/>
    </xf>
    <xf numFmtId="0" fontId="36" fillId="13" borderId="10" applyAlignment="1" pivotButton="0" quotePrefix="0" xfId="0">
      <alignment vertical="top" wrapText="1"/>
    </xf>
    <xf numFmtId="0" fontId="34" fillId="8" borderId="10" applyAlignment="1" pivotButton="0" quotePrefix="0" xfId="0">
      <alignment vertical="center"/>
    </xf>
  </cellXfs>
  <cellStyles count="1">
    <cellStyle name="Normal" xfId="0" builtinId="0"/>
  </cellStyles>
  <dxfs count="21">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s>
  <commentList>
    <comment ref="B4" authorId="0" shapeId="0">
      <text>
        <t>Click an evidence file path to open the file. The evidence folder location is set on tab 'WP Summary' (yellow cell, row 27): blank = folder 'BSI.IT.6.C7.3-Evidences' next to this workbook.</t>
      </text>
    </comment>
  </commentList>
</comments>
</file>

<file path=xl/comments/comment3.xml><?xml version="1.0" encoding="utf-8"?>
<comments xmlns="http://schemas.openxmlformats.org/spreadsheetml/2006/main">
  <authors>
    <author>BSI.IT.6.C7.3</author>
  </authors>
  <commentList>
    <comment ref="B4" authorId="0" shapeId="0">
      <text>
        <t>Click an evidence file path to open the file. The evidence folder location is set on tab 'WP Summary' (yellow cell, row 27): blank = folder 'BSI.IT.6.C7.3-Evidences' next to this workbook.</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
    <tableColumn id="13" name=" Applications in Scope Identified" dataDxfId="0"/>
    <tableColumn id="2" name="IT DR exercise name" dataDxfId="10"/>
    <tableColumn id="11" name="IT DR exercise name, was the exercise annually executed?" dataDxfId="9"/>
    <tableColumn id="4" name="Business Tester" dataDxfId="2"/>
    <tableColumn id="5" name="Business Data validation" dataDxfId="8"/>
    <tableColumn id="6" name="Business line manager name" dataDxfId="7"/>
    <tableColumn id="7" name="Business line manager approval dates" dataDxfId="6"/>
    <tableColumn id="8" name="DIV Test procedures listed within the Test results document" dataDxfId="5"/>
    <tableColumn id="9" name="Emails showing Business line manager approval of DIV testing results" dataDxfId="4"/>
    <tableColumn id="10" name="All evidence of Data Integrity DR test in BCIC"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H28"/>
  <sheetViews>
    <sheetView topLeftCell="B1" workbookViewId="0">
      <selection activeCell="G18" sqref="G18"/>
    </sheetView>
  </sheetViews>
  <sheetFormatPr baseColWidth="8" defaultRowHeight="14"/>
  <cols>
    <col width="10" customWidth="1" style="50" min="1" max="1"/>
    <col width="38" customWidth="1" style="50" min="2" max="2"/>
    <col width="30" customWidth="1" style="50" min="3" max="3"/>
    <col width="28" customWidth="1" style="50" min="4" max="4"/>
    <col width="30" customWidth="1" style="50" min="5" max="6"/>
    <col width="14" customWidth="1" style="50" min="7" max="7"/>
    <col width="34" customWidth="1" style="50" min="8" max="8"/>
  </cols>
  <sheetData>
    <row r="1" ht="16" customHeight="1" s="50">
      <c r="A1" s="59" t="inlineStr">
        <is>
          <t>BSI.IT.6.C7: DR Data Integrity Validation Testing Workpaper</t>
        </is>
      </c>
    </row>
    <row r="2" ht="16" customHeight="1" s="50"/>
    <row r="3">
      <c r="A3" s="17" t="n"/>
      <c r="B3" s="17" t="n"/>
      <c r="C3" s="17" t="n"/>
      <c r="D3" s="17" t="n"/>
      <c r="E3" s="17" t="n"/>
      <c r="F3" s="17" t="n"/>
      <c r="G3" s="17" t="n"/>
      <c r="H3" s="17" t="n"/>
    </row>
    <row r="4" ht="21.15" customHeight="1" s="50">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50">
      <c r="A5" s="16" t="inlineStr">
        <is>
          <t>Review Period</t>
        </is>
      </c>
      <c r="B5" s="17" t="inlineStr">
        <is>
          <t>08/01/2025 to 06/01/2026</t>
        </is>
      </c>
      <c r="C5" s="17" t="n"/>
      <c r="D5" s="17" t="inlineStr">
        <is>
          <t>In-scope applications tested</t>
        </is>
      </c>
      <c r="E5" s="22" t="n">
        <v>10</v>
      </c>
      <c r="F5" s="22" t="n">
        <v>1</v>
      </c>
      <c r="G5" s="22" t="n">
        <v>0</v>
      </c>
      <c r="H5" s="19" t="inlineStr">
        <is>
          <t>PASS</t>
        </is>
      </c>
    </row>
    <row r="6" ht="21.15" customHeight="1" s="50">
      <c r="A6" s="16" t="inlineStr">
        <is>
          <t>Scope Entity</t>
        </is>
      </c>
      <c r="B6" s="17" t="inlineStr">
        <is>
          <t>BSI</t>
        </is>
      </c>
      <c r="C6" s="17" t="n"/>
      <c r="D6" s="17" t="inlineStr">
        <is>
          <t>DIV records tested</t>
        </is>
      </c>
      <c r="E6" s="22" t="n">
        <v>56</v>
      </c>
      <c r="F6" s="22" t="n">
        <v>56</v>
      </c>
      <c r="G6" s="22" t="n">
        <v>0</v>
      </c>
      <c r="H6" s="19" t="inlineStr">
        <is>
          <t>PASS</t>
        </is>
      </c>
    </row>
    <row r="7" ht="21.15" customHeight="1" s="50">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50">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50">
      <c r="A9" s="16" t="inlineStr">
        <is>
          <t>Source 1</t>
        </is>
      </c>
      <c r="B9" s="17" t="inlineStr">
        <is>
          <t>MA01: BSI.IT.6.C7.3-Evidences\01_Management_Attestation_In-Scope_Applications\MA01_BSI In-Scope Applications-2026.png; E01: BSI.IT.6.C7.3-Evidences\04_Data_Integrity_and_Email_Testing_Evidence\BSI.IT.6.C7.3_E01_Applications In Scope for DR Test BSI (13).xlsx</t>
        </is>
      </c>
      <c r="C9" s="17" t="n"/>
      <c r="D9" s="17" t="n"/>
      <c r="E9" s="17" t="n"/>
      <c r="F9" s="17" t="n"/>
      <c r="G9" s="17" t="n"/>
      <c r="H9" s="17" t="n"/>
    </row>
    <row r="10" ht="88" customHeight="1" s="50">
      <c r="A10" s="16" t="inlineStr">
        <is>
          <t>Source 2</t>
        </is>
      </c>
      <c r="B10" s="17" t="inlineStr">
        <is>
          <t>E03: BSI.IT.6.C7.3-Evidences\04_Data_Integrity_and_Email_Testing_Evidence\BSI.IT.6.C7.3_E03_All Data Integrity Validation Testing_FV.xls; E16b: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51"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50">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BSI.IT.6.C7.3-Evidences\01_Management_Attestation_In-Scope_Applications\MA01_BSI In-Scope Applications-2026.png; E01: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50">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BSI.IT.6.C7.3-Evidences\04_Data_Integrity_and_Email_Testing_Evidence\BSI.IT.6.C7.3_E03_All Data Integrity Validation Testing_FV.xls; E16b; BLA01 to BLA05 (BSI.IT.6.C7.3-Evidences\02_Business_Line_Approval_Results_Email)</t>
        </is>
      </c>
      <c r="G15" s="19" t="inlineStr">
        <is>
          <t>PASS</t>
        </is>
      </c>
      <c r="H15" s="17" t="inlineStr">
        <is>
          <t>DIV testing was completed for the full in-scope population.</t>
        </is>
      </c>
    </row>
    <row r="16" ht="44.9" customHeight="1" s="50">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33 approvals were given after the period ended, 13 more were only confirmed later, and in some business lines the tester approved their own work. See column Q of the Application Attribute Testing-1 tab.</t>
        </is>
      </c>
      <c r="F16" s="17" t="inlineStr">
        <is>
          <t>BLA01 to BLA06 (BSI.IT.6.C7.3-Evidences\02_Business_Line_Approval_Results_Email); DMA01 to DMA12 (BSI.IT.6.C7.3-Evidences\03_DIV_Manager_Attestation_Email_Approvals); E09; E03 approval fields</t>
        </is>
      </c>
      <c r="G16" s="19" t="inlineStr">
        <is>
          <t>PASS with observations</t>
        </is>
      </c>
      <c r="H16" s="17" t="inlineStr">
        <is>
          <t>Business line management approval was appropriately obtained.</t>
        </is>
      </c>
    </row>
    <row r="17" ht="44.9" customHeight="1" s="50">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50">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n"/>
      <c r="H18" s="17" t="n"/>
    </row>
    <row r="19">
      <c r="A19" s="17" t="n"/>
      <c r="B19" s="17" t="n"/>
      <c r="C19" s="17" t="n"/>
      <c r="D19" s="17" t="n"/>
      <c r="E19" s="17" t="n"/>
      <c r="F19" s="17" t="n"/>
      <c r="G19" s="17" t="n"/>
      <c r="H19" s="17" t="n"/>
    </row>
    <row r="20">
      <c r="A20" s="51" t="inlineStr">
        <is>
          <t>Overall Conclusion</t>
        </is>
      </c>
    </row>
    <row r="21" ht="62.4" customHeight="1" s="50">
      <c r="A21" s="57" t="inlineStr">
        <is>
          <t>Application-level DIV testing and the five control attributes are brought together on the Application Attribute Testing tab. All 10 in-scope applications (56 DIV records) were assessed against the evidence in the BSI.IT.6.C7.3-Evidences repository (folders 01 to 04),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t>
        </is>
      </c>
    </row>
    <row r="22" ht="27.15" customHeight="1" s="50"/>
    <row r="23" ht="20.5" customHeight="1" s="50"/>
    <row r="24" ht="20.5" customHeight="1" s="50"/>
    <row r="26">
      <c r="A26" s="93" t="inlineStr">
        <is>
          <t>Evidence file links: setting (clicking an evidence file path opens the file)</t>
        </is>
      </c>
    </row>
    <row r="27" ht="30" customHeight="1" s="50">
      <c r="A27" s="49" t="inlineStr">
        <is>
          <t>Evidence folder</t>
        </is>
      </c>
      <c r="B27" s="53" t="n"/>
      <c r="C27" s="54" t="n"/>
      <c r="D27" s="54" t="n"/>
      <c r="E27" s="55" t="n"/>
      <c r="F27" s="94" t="inlineStr">
        <is>
          <t>Yellow cell: leave blank if the evidence folder sits next to this workbook; otherwise paste its full path (local, network or SharePoint).</t>
        </is>
      </c>
    </row>
    <row r="28">
      <c r="A28" s="49" t="inlineStr">
        <is>
          <t>Links resolve to</t>
        </is>
      </c>
      <c r="B28" s="60">
        <f>EvidenceRoot</f>
        <v/>
      </c>
      <c r="C28" s="54" t="n"/>
      <c r="D28" s="54" t="n"/>
      <c r="E28" s="55" t="n"/>
      <c r="F28" s="95">
        <f>HYPERLINK(EvidenceRoot,"Test: open the evidence folder")</f>
        <v/>
      </c>
    </row>
  </sheetData>
  <mergeCells count="9">
    <mergeCell ref="A12:H12"/>
    <mergeCell ref="A26:H26"/>
    <mergeCell ref="B27:E27"/>
    <mergeCell ref="F28:H28"/>
    <mergeCell ref="A20:H20"/>
    <mergeCell ref="A21:H24"/>
    <mergeCell ref="F27:H27"/>
    <mergeCell ref="A1:H2"/>
    <mergeCell ref="B28:E28"/>
  </mergeCell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0"/>
  <sheetViews>
    <sheetView topLeftCell="A4" workbookViewId="0">
      <selection activeCell="C39" sqref="C39:C40"/>
    </sheetView>
  </sheetViews>
  <sheetFormatPr baseColWidth="8" defaultRowHeight="14"/>
  <cols>
    <col width="14" customWidth="1" style="50" min="1" max="1"/>
    <col width="28" customWidth="1" style="50" min="2" max="2"/>
    <col width="14" customWidth="1" style="50" min="3" max="4"/>
    <col width="18" customWidth="1" style="50" min="5" max="5"/>
    <col width="20" customWidth="1" style="50" min="6" max="6"/>
    <col width="18" customWidth="1" style="50" min="7" max="7"/>
    <col width="16" customWidth="1" style="50" min="8" max="8"/>
  </cols>
  <sheetData>
    <row r="1">
      <c r="A1" s="62" t="inlineStr">
        <is>
          <t>In-Scope DR Applications - BSI</t>
        </is>
      </c>
    </row>
    <row r="2"/>
    <row r="4" ht="22" customHeight="1" s="50">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61" t="inlineStr">
        <is>
          <t>Source / Scope Note</t>
        </is>
      </c>
    </row>
    <row r="19">
      <c r="A19" s="63" t="inlineStr">
        <is>
          <t>Application scope = the 10 applications selected in BCiC 'Applications In Scope for DR Test BSI' with 2025 Backup/Restore DIV Scope = True, MA01 (BSI.IT.6.C7.3-Evidences\01_Management_Attestation_In-Scope_Applications\MA01_BSI In-Scope Applications-2026.png).</t>
        </is>
      </c>
    </row>
    <row r="20">
      <c r="A20" s="63"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A3" activePane="bottomLeft" state="frozen"/>
      <selection activeCell="A2" sqref="A2"/>
      <selection pane="bottomLeft" activeCell="A13" sqref="A13:XFD17"/>
    </sheetView>
  </sheetViews>
  <sheetFormatPr baseColWidth="8" defaultRowHeight="14.5"/>
  <cols>
    <col width="26.58203125" customWidth="1" style="38" min="1" max="1"/>
    <col width="65.5" customWidth="1" style="38" min="2" max="2"/>
    <col width="66" customWidth="1" style="38" min="3" max="3"/>
    <col width="69.33203125" customWidth="1" style="38" min="4" max="4"/>
    <col width="65.83203125" customWidth="1" style="38" min="5" max="5"/>
    <col width="60" customWidth="1" style="38" min="6" max="6"/>
    <col width="62" customWidth="1" style="38" min="7" max="7"/>
    <col width="55" customWidth="1" style="38" min="8" max="8"/>
    <col width="58" customWidth="1" style="38" min="9" max="9"/>
    <col width="62" customWidth="1" style="38" min="10" max="11"/>
    <col width="60" customWidth="1" style="38" min="12" max="13"/>
    <col width="66" customWidth="1" style="38" min="14" max="15"/>
    <col hidden="1" width="58" customWidth="1" style="38" min="16" max="16"/>
    <col width="70" customWidth="1" style="38" min="17" max="17"/>
    <col width="95" customWidth="1" style="38" min="18" max="18"/>
    <col width="48" customWidth="1" style="39" min="19" max="19"/>
    <col width="8.6640625" customWidth="1" style="39" min="20" max="65"/>
    <col width="8.6640625" customWidth="1" style="38" min="66" max="67"/>
    <col width="8.6640625" customWidth="1" style="38" min="68" max="16384"/>
  </cols>
  <sheetData>
    <row r="1" ht="31.5" customFormat="1" customHeight="1" s="41">
      <c r="A1" s="96" t="inlineStr">
        <is>
          <t>Application-Level DIV Testing Results: Integrated Control Attribute Testing-2026</t>
        </is>
      </c>
      <c r="B1" s="97" t="n"/>
      <c r="C1" s="97" t="n"/>
      <c r="D1" s="97" t="n"/>
      <c r="E1" s="97" t="n"/>
      <c r="F1" s="97" t="n"/>
      <c r="G1" s="97" t="n"/>
      <c r="H1" s="97" t="n"/>
      <c r="I1" s="97" t="n"/>
      <c r="J1" s="97" t="n"/>
      <c r="K1" s="97" t="n"/>
      <c r="L1" s="97" t="n"/>
      <c r="M1" s="98"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99" t="inlineStr">
        <is>
          <t>Application Name</t>
        </is>
      </c>
      <c r="C2" s="99" t="inlineStr">
        <is>
          <t xml:space="preserve"> Applications in Scope Identified</t>
        </is>
      </c>
      <c r="D2" s="99" t="inlineStr">
        <is>
          <t>IT DR exercise name</t>
        </is>
      </c>
      <c r="E2" s="99" t="inlineStr">
        <is>
          <t>IT DR exercise name, was the exercise annually executed?</t>
        </is>
      </c>
      <c r="F2" s="99" t="inlineStr">
        <is>
          <t>Business Tester</t>
        </is>
      </c>
      <c r="G2" s="99" t="inlineStr">
        <is>
          <t>Business Data validation</t>
        </is>
      </c>
      <c r="H2" s="99" t="inlineStr">
        <is>
          <t>Business line manager name</t>
        </is>
      </c>
      <c r="I2" s="99" t="inlineStr">
        <is>
          <t>Business line manager approval dates</t>
        </is>
      </c>
      <c r="J2" s="99" t="inlineStr">
        <is>
          <t>DIV Test procedures listed within the Test results document</t>
        </is>
      </c>
      <c r="K2" s="99" t="inlineStr">
        <is>
          <t>Emails showing Business line manager approval of DIV testing results</t>
        </is>
      </c>
      <c r="L2" s="99" t="inlineStr">
        <is>
          <t>All evidence of Data Integrity DR test in BCIC</t>
        </is>
      </c>
      <c r="M2" s="99" t="inlineStr">
        <is>
          <t xml:space="preserve"> Annual Testing Executed</t>
        </is>
      </c>
      <c r="N2" s="99" t="inlineStr">
        <is>
          <t xml:space="preserve"> Data Integrity Validation Performed by IT DR Team</t>
        </is>
      </c>
      <c r="O2" s="99" t="inlineStr">
        <is>
          <t xml:space="preserve"> Business Line Approval of Results</t>
        </is>
      </c>
      <c r="P2" s="99" t="inlineStr">
        <is>
          <t xml:space="preserve"> Results Documented in BCMS</t>
        </is>
      </c>
      <c r="Q2" s="99" t="inlineStr">
        <is>
          <t>Overall Attribute Assessment</t>
        </is>
      </c>
      <c r="R2" s="40" t="inlineStr">
        <is>
          <t>Supporting Evidence per Attribute</t>
        </is>
      </c>
      <c r="S2" s="99"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133.5" customFormat="1" customHeight="1" s="37">
      <c r="A3" s="47" t="n">
        <v>1822</v>
      </c>
      <c r="B3" s="42" t="inlineStr">
        <is>
          <t>ACH Express (Application ID 1822)</t>
        </is>
      </c>
      <c r="C3" s="45"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D3"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3"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3" s="42" t="inlineStr">
        <is>
          <t>1 DIV records:
Andreina De Stefano (Client Back Office), E03 row 47</t>
        </is>
      </c>
      <c r="G3" s="42" t="inlineStr">
        <is>
          <t>11/15/2025, data validated during the DR exercise</t>
        </is>
      </c>
      <c r="H3" s="42" t="inlineStr">
        <is>
          <t>Claudia Romero (Client Back Office), E03 row 47</t>
        </is>
      </c>
      <c r="I3" s="42" t="inlineStr">
        <is>
          <t>Claudia Romero: BCiC approval 05/05/2026; approval evidence 05/05/2026</t>
        </is>
      </c>
      <c r="J3" s="42" t="inlineStr">
        <is>
          <t>Yes, DIV procedures are listed in the test results documents:
FED Inclearing (ACH &amp; Cash Letters) ACH Express Data Integrity Validation (DIV) Procedure</t>
        </is>
      </c>
      <c r="K3" s="42" t="inlineStr">
        <is>
          <t>Yes, application-specific business line manager approval evidence obtained for every DIV record:
Claudia Romero: E09 email "Approved." 05/05/2026 (Client Back Office results); DMA01 email with attached signed attestation 08/18/2026</t>
        </is>
      </c>
      <c r="L3" s="89"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45" t="inlineStr">
        <is>
          <t>PASS. DIV testing for the application was executed during the 11/15/2025 annual DR exercise (within the review period) and in the prior annual cycle (2024 Full DR Test 10/19/2024).</t>
        </is>
      </c>
      <c r="N3"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3" s="45" t="inlineStr">
        <is>
          <t>PASS. Business line results documented in the Business Line Approval Results folder (BLA01) were approved by the responsible business line managers: Claudia Romero (05/05/2026).</t>
        </is>
      </c>
      <c r="P3" s="45" t="inlineStr">
        <is>
          <t>PASS. DIV results, business tester, validation date, manager approval and attestation fields are recorded in BCMS (BC in the Cloud) for this application.</t>
        </is>
      </c>
      <c r="Q3" s="45" t="inlineStr">
        <is>
          <t>PASS. All five control attributes are met (Annual Testing Executed, DIV Performed by IT DR Team, Applications in Scope Identified, Business Line Approval of Results, Results Documented in BCMS).</t>
        </is>
      </c>
      <c r="R3"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3" s="44" t="inlineStr">
        <is>
          <t>PASS. DIV executed and validated (Y/Y/Y) during the 11/15/2025 annual DR exercise, application in scope (MA01), results documented in BCiC/BCMS and approved by business line management (Claudia Romero).</t>
        </is>
      </c>
    </row>
    <row r="4" ht="332" customFormat="1" customHeight="1" s="37">
      <c r="A4" s="47" t="n">
        <v>1867</v>
      </c>
      <c r="B4" s="42" t="inlineStr">
        <is>
          <t>FedExport - BSI (Application ID 1867)</t>
        </is>
      </c>
      <c r="C4" s="45"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D4"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4" s="42"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t>
        </is>
      </c>
      <c r="F4" s="42" t="inlineStr">
        <is>
          <t>1 DIV records:
Andreina De Stefano (Client Back Office), E03 row 9</t>
        </is>
      </c>
      <c r="G4" s="42" t="inlineStr">
        <is>
          <t>11/15/2025, data validated during the DR exercise; Format / Headers / Content = Y / Y / Y for 1 of 1 record; no data integrity exceptions.</t>
        </is>
      </c>
      <c r="H4" s="42" t="inlineStr">
        <is>
          <t>Claudia Romero (Client Back Office), E03 row 9</t>
        </is>
      </c>
      <c r="I4" s="42" t="inlineStr">
        <is>
          <t>Claudia Romero: BCiC approval 06/05/2026; approval evidence 05/05/2026</t>
        </is>
      </c>
      <c r="J4" s="42" t="inlineStr">
        <is>
          <t>Yes, DIV procedures are listed in the test results documents:
FED Inclearing (ACH &amp; Cash Letters) FedExport - BSI Data Integrity Validation (DIV) Procedure</t>
        </is>
      </c>
      <c r="K4" s="42" t="inlineStr">
        <is>
          <t>Yes, application-specific business line manager approval evidence obtained for every DIV record:
Claudia Romero: E09 email "Approved." 05/05/2026 (Client Back Office results); DMA01 email with attached signed attestation 08/18/2026</t>
        </is>
      </c>
      <c r="L4"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45" t="inlineStr">
        <is>
          <t>PASS. DIV testing for the application was executed during the 11/15/2025 annual DR exercise (within the review period) and in the prior annual cycle (2024 Full DR Test 10/19/2024).</t>
        </is>
      </c>
      <c r="N4"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4" s="45" t="inlineStr">
        <is>
          <t>PASS. Business line results documented in the Business Line Approval Results folder (BLA01) were approved by the responsible business line managers: Claudia Romero (05/05/2026).</t>
        </is>
      </c>
      <c r="P4" s="45" t="inlineStr">
        <is>
          <t>PASS. DIV results, business tester, validation date, manager approval and attestation fields are recorded in BCMS (BC in the Cloud) for this application.</t>
        </is>
      </c>
      <c r="Q4" s="45" t="inlineStr">
        <is>
          <t>PASS. All five control attributes are met (Annual Testing Executed, DIV Performed by IT DR Team, Applications in Scope Identified, Business Line Approval of Results, Results Documented in BCMS).</t>
        </is>
      </c>
      <c r="R4"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4" s="44" t="inlineStr">
        <is>
          <t>PASS. DIV executed and validated (Y/Y/Y) during the 11/15/2025 annual DR exercise, application in scope (MA01), results documented in BCiC/BCMS and approved by business line management (Claudia Romero).</t>
        </is>
      </c>
    </row>
    <row r="5" ht="332" customFormat="1" customHeight="1" s="37">
      <c r="A5" s="47" t="n">
        <v>1868</v>
      </c>
      <c r="B5" s="42" t="inlineStr">
        <is>
          <t>FedImport - BSI (Application ID 1868)</t>
        </is>
      </c>
      <c r="C5" s="45"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D5"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5" s="42"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t>
        </is>
      </c>
      <c r="F5" s="42" t="inlineStr">
        <is>
          <t>1 DIV records:
Andreina De Stefano (Client Back Office), E03 row 10</t>
        </is>
      </c>
      <c r="G5" s="42" t="inlineStr">
        <is>
          <t>11/15/2025, data validated during the DR exercise; Format / Headers / Content = Y / Y / Y for 1 of 1 record; no data integrity exceptions.</t>
        </is>
      </c>
      <c r="H5" s="42" t="inlineStr">
        <is>
          <t>Claudia Romero (Client Back Office), E03 row 10</t>
        </is>
      </c>
      <c r="I5" s="42" t="inlineStr">
        <is>
          <t>Claudia Romero: BCiC approval 05/05/2026; approval evidence 05/05/2026</t>
        </is>
      </c>
      <c r="J5" s="42" t="inlineStr">
        <is>
          <t>Yes, DIV procedures are listed in the test results documents:
FED Inclearing (ACH &amp; Cash Letters) FedImport - BSI Data Integrity Validation (DIV) Procedure</t>
        </is>
      </c>
      <c r="K5" s="42" t="inlineStr">
        <is>
          <t>Yes, application-specific business line manager approval evidence obtained for every DIV record:
Claudia Romero: E09 email "Approved." 05/05/2026 (Client Back Office results); DMA01 email with attached signed attestation 08/18/2026</t>
        </is>
      </c>
      <c r="L5"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45" t="inlineStr">
        <is>
          <t>PASS. DIV testing for the application was executed during the 11/15/2025 annual DR exercise (within the review period) and in the prior annual cycle (2024 Full DR Test 10/19/2024).</t>
        </is>
      </c>
      <c r="N5"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5" s="45" t="inlineStr">
        <is>
          <t>PASS. Business line results documented in the Business Line Approval Results folder (BLA01) were approved by the responsible business line managers: Claudia Romero (05/05/2026).</t>
        </is>
      </c>
      <c r="P5" s="45" t="inlineStr">
        <is>
          <t>PASS. DIV results, business tester, validation date, manager approval and attestation fields are recorded in BCMS (BC in the Cloud) for this application.</t>
        </is>
      </c>
      <c r="Q5" s="45" t="inlineStr">
        <is>
          <t>PASS. All five control attributes are met (Annual Testing Executed, DIV Performed by IT DR Team, Applications in Scope Identified, Business Line Approval of Results, Results Documented in BCMS).</t>
        </is>
      </c>
      <c r="R5"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5" s="44" t="inlineStr">
        <is>
          <t>PASS. DIV executed and validated (Y/Y/Y) during the 11/15/2025 annual DR exercise, application in scope (MA01), results documented in BCiC/BCMS and approved by business line management (Claudia Romero).</t>
        </is>
      </c>
    </row>
    <row r="6" ht="409" customFormat="1" customHeight="1" s="37">
      <c r="A6" s="47" t="n">
        <v>3299</v>
      </c>
      <c r="B6" s="42" t="inlineStr">
        <is>
          <t>Imaging101 (Application ID 3299)</t>
        </is>
      </c>
      <c r="C6" s="45"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D6" s="42" t="inlineStr">
        <is>
          <t>BSI IT DR Exercise on 11/15/2025 (actual Disaster Recovery exercise; BSI production failed over from the main Miami datacenter (Telefonica) to the DR site).</t>
        </is>
      </c>
      <c r="E6"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6" s="42"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t>
        </is>
      </c>
      <c r="G6" s="42" t="inlineStr">
        <is>
          <t>11/15/2025, data validated during the DR exercise; Format / Headers / Content = Y / Y / Y for 6 of 6 records; no data integrity exceptions.</t>
        </is>
      </c>
      <c r="H6" s="42" t="inlineStr">
        <is>
          <t>David Marquez (BSA/AML/OFAC Compliance), E03 row 5
Claudia Romero (Client Back Office), E03 rows 11, 13
Miguel Orozco (Commercial Administrative - Middle office), E03 row 51
Maria del Cerro Hontanilla (Multi-Family Office Advisory; Governance and Static Data), E03 rows 53, 57</t>
        </is>
      </c>
      <c r="I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42"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42"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45" t="inlineStr">
        <is>
          <t>PASS. DIV testing for the application was executed during the 11/15/2025 annual DR exercise (within the review period) and in the prior annual cycle (2024 Full DR Test 10/19/2024).</t>
        </is>
      </c>
      <c r="N6"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6" s="45"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P6" s="45" t="inlineStr">
        <is>
          <t>PASS. DIV results, business tester, validation date, manager approval and attestation fields are recorded in BCMS (BC in the Cloud) for this application.</t>
        </is>
      </c>
      <c r="Q6" s="45" t="inlineStr">
        <is>
          <t>PASS. All five control attributes are met (Annual Testing Executed, DIV Performed by IT DR Team, Applications in Scope Identified, Business Line Approval of Results, Results Documented in BCMS).</t>
        </is>
      </c>
      <c r="R6"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6" s="44" t="inlineStr">
        <is>
          <t>PASS. DIV executed and validated (Y/Y/Y) during the 11/15/2025 annual DR exercise, application in scope (MA01), results documented in BCiC/BCMS and approved by business line management (David Marquez, Claudia Romero, Miguel Orozco, Maria del Cerro Hontanilla).</t>
        </is>
      </c>
    </row>
    <row r="7" ht="296" customFormat="1" customHeight="1" s="37">
      <c r="A7" s="47" t="n">
        <v>4052</v>
      </c>
      <c r="B7" s="42" t="inlineStr">
        <is>
          <t>Interface Monitor (Application ID 4052)</t>
        </is>
      </c>
      <c r="C7" s="45"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D7" s="42" t="inlineStr">
        <is>
          <t>BSI IT DR Exercise on 11/15/2025 (actual Disaster Recovery exercise; BSI production failed over from the main Miami datacenter (Telefonica) to the DR site).</t>
        </is>
      </c>
      <c r="E7"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7" s="42" t="inlineStr">
        <is>
          <t>1 DIV records:
Michelle Oropesa (Investment Operations), E03 row 61</t>
        </is>
      </c>
      <c r="G7" s="42" t="inlineStr">
        <is>
          <t>11/15/2025, data validated during the DR exercise; Format / Headers / Content = Y / Y / Y for 1 of 1 record; no data integrity exceptions.</t>
        </is>
      </c>
      <c r="H7" s="42" t="inlineStr">
        <is>
          <t>Michelle Oropesa (Investment Operations), E03 row 61</t>
        </is>
      </c>
      <c r="I7" s="42" t="inlineStr">
        <is>
          <t>Michelle Oropesa: BCiC approval 08/17/2026; approval evidence 08/17/2026</t>
        </is>
      </c>
      <c r="J7" s="42" t="inlineStr">
        <is>
          <t>Yes, DIV procedures are listed in the test results documents:
Treasury Hub &amp; Derivatives Operations Interface Monitor Data Integrity Validation (DIV) Procedure</t>
        </is>
      </c>
      <c r="K7" s="42" t="inlineStr">
        <is>
          <t>Yes, application-specific business line manager approval evidence obtained for every DIV record:
Michelle Oropesa: DMA04 email with attached signed attestation 08/17/2026</t>
        </is>
      </c>
      <c r="L7"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45" t="inlineStr">
        <is>
          <t>PASS. DIV testing for the application was executed during the 11/15/2025 annual DR exercise (within the review period) and in the prior annual cycle (2024 Full DR Test 10/19/2024).</t>
        </is>
      </c>
      <c r="N7"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7" s="45"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t>
        </is>
      </c>
      <c r="P7" s="45" t="inlineStr">
        <is>
          <t>PASS. DIV results, business tester, validation date, manager approval and attestation fields are recorded in BCMS (BC in the Cloud) for this application.</t>
        </is>
      </c>
      <c r="Q7" s="45" t="inlineStr">
        <is>
          <t>PASS. All five control attributes are met (Annual Testing Executed, DIV Performed by IT DR Team, Applications in Scope Identified, Business Line Approval of Results, Results Documented in BCMS).</t>
        </is>
      </c>
      <c r="R7" s="100"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S7" s="44" t="inlineStr">
        <is>
          <t>PASS. DIV executed and validated (Y/Y/Y) during the 11/15/2025 annual DR exercise, application in scope (MA01), results documented in BCiC/BCMS and approved by business line management (Michelle Oropesa).</t>
        </is>
      </c>
    </row>
    <row r="8" ht="332" customFormat="1" customHeight="1" s="37">
      <c r="A8" s="47" t="n">
        <v>3301</v>
      </c>
      <c r="B8" s="42" t="inlineStr">
        <is>
          <t>MQ Payment Monitor (Application ID 3301)</t>
        </is>
      </c>
      <c r="C8" s="45"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D8" s="42" t="inlineStr">
        <is>
          <t>BSI IT DR Exercise on 11/15/2025 (actual Disaster Recovery exercise; BSI production failed over from the main Miami datacenter (Telefonica) to the DR site).</t>
        </is>
      </c>
      <c r="E8"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8" s="42" t="inlineStr">
        <is>
          <t>2 DIV records:
Franklin Puentes (Payments &amp; Cash Management), E03 rows 25, 29</t>
        </is>
      </c>
      <c r="G8" s="42" t="inlineStr">
        <is>
          <t>11/15/2025, data validated during the DR exercise; Format / Headers / Content = Y / Y / Y for 2 of 2 records; no data integrity exceptions.</t>
        </is>
      </c>
      <c r="H8" s="42" t="inlineStr">
        <is>
          <t>Franklin Puentes (Payments &amp; Cash Management), E03 rows 25, 29</t>
        </is>
      </c>
      <c r="I8" s="42" t="inlineStr">
        <is>
          <t>Franklin Puentes: BCiC approval 12/18/2025; approval evidence 08/18/2026</t>
        </is>
      </c>
      <c r="J8" s="42" t="inlineStr">
        <is>
          <t>Yes, DIV procedures are listed in the test results documents:
BSI Cash Management MQ Data Integrity Validation (DIV) Procedure
Financial Messaging Services MQ Data Integrity Validation (DIV) Procedure</t>
        </is>
      </c>
      <c r="K8" s="42" t="inlineStr">
        <is>
          <t>Yes, application-specific business line manager approval evidence obtained for every DIV record:
Franklin Puentes: DMA03 email with attached signed attestation 08/18/2026</t>
        </is>
      </c>
      <c r="L8"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45" t="inlineStr">
        <is>
          <t>PASS. DIV testing for the application was executed during the 11/15/2025 annual DR exercise (within the review period) and in the prior annual cycle (2024 Full DR Test 10/19/2024).</t>
        </is>
      </c>
      <c r="N8"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8" s="45"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t>
        </is>
      </c>
      <c r="P8" s="45" t="inlineStr">
        <is>
          <t>PASS. DIV results, business tester, validation date, manager approval and attestation fields are recorded in BCMS (BC in the Cloud) for this application.</t>
        </is>
      </c>
      <c r="Q8" s="45" t="inlineStr">
        <is>
          <t>PASS. All five control attributes are met (Annual Testing Executed, DIV Performed by IT DR Team, Applications in Scope Identified, Business Line Approval of Results, Results Documented in BCMS).</t>
        </is>
      </c>
      <c r="R8"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8" s="44" t="inlineStr">
        <is>
          <t>PASS. DIV executed and validated (Y/Y/Y) during the 11/15/2025 annual DR exercise, application in scope (MA01), results documented in BCiC/BCMS and approved by business line management (Franklin Puentes).</t>
        </is>
      </c>
    </row>
    <row r="9" ht="380" customFormat="1" customHeight="1" s="37">
      <c r="A9" s="47" t="n">
        <v>1903</v>
      </c>
      <c r="B9" s="42" t="inlineStr">
        <is>
          <t>OFAC - BSI (Application ID 1903)</t>
        </is>
      </c>
      <c r="C9" s="45"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D9" s="42" t="inlineStr">
        <is>
          <t>BSI IT DR Exercise on 11/15/2025 (actual Disaster Recovery exercise; BSI production failed over from the main Miami datacenter (Telefonica) to the DR site).</t>
        </is>
      </c>
      <c r="E9" s="42"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t>
        </is>
      </c>
      <c r="F9" s="42" t="inlineStr">
        <is>
          <t>5 DIV records:
David Marquez (BSA/AML/OFAC Compliance), E03 row 6
Franklin Puentes (Payments &amp; Cash Management), E03 rows 26, 30, 34
Gabriela Gutierrez (Governance and Static Data), E03 row 58</t>
        </is>
      </c>
      <c r="G9" s="42" t="inlineStr">
        <is>
          <t>11/15/2025, data validated during the DR exercise; Format / Headers / Content = Y / Y / Y for 5 of 5 records; no data integrity exceptions.</t>
        </is>
      </c>
      <c r="H9" s="42" t="inlineStr">
        <is>
          <t>David Marquez (BSA/AML/OFAC Compliance), E03 row 6
Franklin Puentes (Payments &amp; Cash Management), E03 rows 26, 30, 34
Maria del Cerro Hontanilla (Governance and Static Data), E03 row 58</t>
        </is>
      </c>
      <c r="I9" s="45" t="inlineStr">
        <is>
          <t>David Marquez: BCiC approval 11/15/2025; approval evidence 08/19/2026
Franklin Puentes: BCiC approval 12/18/2025; approval evidence 08/18/2026
Maria del Cerro Hontanilla: BCiC approval 08/19/2026; approval evidence 08/19/2026</t>
        </is>
      </c>
      <c r="J9" s="42"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42"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45" t="inlineStr">
        <is>
          <t>PASS. DIV testing for the application was executed during the 11/15/2025 annual DR exercise (within the review period) and in the prior annual cycle (2024 Full DR Test 10/19/2024).</t>
        </is>
      </c>
      <c r="N9"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9" s="45"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P9" s="45" t="inlineStr">
        <is>
          <t>PASS. DIV results, business tester, validation date, manager approval and attestation fields are recorded in BCMS (BC in the Cloud) for this application.</t>
        </is>
      </c>
      <c r="Q9" s="45" t="inlineStr">
        <is>
          <t>PASS. All five control attributes are met (Annual Testing Executed, DIV Performed by IT DR Team, Applications in Scope Identified, Business Line Approval of Results, Results Documented in BCMS).</t>
        </is>
      </c>
      <c r="R9" s="100"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9" s="44" t="inlineStr">
        <is>
          <t>PASS. DIV executed and validated (Y/Y/Y) during the 11/15/2025 annual DR exercise, application in scope (MA01), results documented in BCiC/BCMS and approved by business line management (David Marquez, Franklin Puentes, Maria del Cerro Hontanilla).</t>
        </is>
      </c>
    </row>
    <row r="10" ht="308" customFormat="1" customHeight="1" s="37">
      <c r="A10" s="47" t="n">
        <v>1917</v>
      </c>
      <c r="B10" s="42" t="inlineStr">
        <is>
          <t>ReconXpert (Application ID 1917)</t>
        </is>
      </c>
      <c r="C10" s="45"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D10" s="42" t="inlineStr">
        <is>
          <t>BSI IT DR Exercise on 11/15/2025 (actual Disaster Recovery exercise; BSI production failed over from the main Miami datacenter (Telefonica) to the DR site).</t>
        </is>
      </c>
      <c r="E10"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0" s="42" t="inlineStr">
        <is>
          <t>1 DIV records:
Sadis Alvarenga Hernandez / Dunia Gonzalez Collado (Financial Analysis and Control), E03 row 17</t>
        </is>
      </c>
      <c r="G10" s="42" t="inlineStr">
        <is>
          <t>11/15/2025, data validated during the DR exercise; Format / Headers / Content = Y / Y / Y for 1 of 1 record; no data integrity exceptions.</t>
        </is>
      </c>
      <c r="H10" s="42" t="inlineStr">
        <is>
          <t>Sadis Alvarenga Hernandez (Financial Analysis and Control), E03 row 17</t>
        </is>
      </c>
      <c r="I10" s="42" t="inlineStr">
        <is>
          <t>Sadis Alvarenga Hernandez: BCiC approval 01/26/2026; approval evidence 01/26/2026</t>
        </is>
      </c>
      <c r="J10" s="42" t="inlineStr">
        <is>
          <t>Yes, DIV procedures are listed in the test results documents:
General ledger review ReconXpert Data Integrity Validation (DIV) Procedure</t>
        </is>
      </c>
      <c r="K10" s="42" t="inlineStr">
        <is>
          <t>Yes, application-specific business line manager approval evidence obtained for every DIV record:
Sadis Alvarenga Hernandez: BLA06 email "Approved." 12/31/2025 &amp; 01/26/2026 (supplemental: E10 Finance approval, Lina Acuna 03/09/2026)</t>
        </is>
      </c>
      <c r="L10"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45" t="inlineStr">
        <is>
          <t>PASS. DIV testing for the application was executed during the 11/15/2025 annual DR exercise (within the review period) and in the prior annual cycle (2024 Full DR Test 10/19/2024).</t>
        </is>
      </c>
      <c r="N10"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0" s="45" t="inlineStr">
        <is>
          <t>PASS. Business line results documented in the Business Line Approval Results folder (BLA05) were approved by the responsible business line managers: Sadis Alvarenga Hernandez (01/26/2026).</t>
        </is>
      </c>
      <c r="P10" s="45" t="inlineStr">
        <is>
          <t>PASS. DIV results, business tester, validation date, manager approval and attestation fields are recorded in BCMS (BC in the Cloud) for this application.</t>
        </is>
      </c>
      <c r="Q10" s="45" t="inlineStr">
        <is>
          <t>PASS. All five control attributes are met (Annual Testing Executed, DIV Performed by IT DR Team, Applications in Scope Identified, Business Line Approval of Results, Results Documented in BCMS).</t>
        </is>
      </c>
      <c r="R10" s="100"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0" s="44" t="inlineStr">
        <is>
          <t>PASS. DIV executed and validated (Y/Y/Y) during the 11/15/2025 annual DR exercise, application in scope (MA01), results documented in BCiC/BCMS and approved by business line management (Sadis Alvarenga Hernandez).</t>
        </is>
      </c>
    </row>
    <row r="11" ht="384" customFormat="1" customHeight="1" s="37">
      <c r="A11" s="47" t="n">
        <v>1936</v>
      </c>
      <c r="B11" s="42" t="inlineStr">
        <is>
          <t>Swift Interface - BSI (Application ID 1936)</t>
        </is>
      </c>
      <c r="C11" s="45"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D11" s="42" t="inlineStr">
        <is>
          <t>BSI IT DR Exercise on 11/15/2025 (actual Disaster Recovery exercise; BSI production failed over from the main Miami datacenter (Telefonica) to the DR site).</t>
        </is>
      </c>
      <c r="E11" s="42"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t>
        </is>
      </c>
      <c r="F11" s="45" t="inlineStr">
        <is>
          <t>2 DIV records:
David Marquez (BSA/AML/OFAC Compliance), E03 row 7
Michelle Oropesa (Investment Operations), E03 row 60</t>
        </is>
      </c>
      <c r="G11" s="42" t="inlineStr">
        <is>
          <t>11/15/2025, data validated during the DR exercise; Format / Headers / Content = Y / Y / Y for 2 of 2 records; no data integrity exceptions.</t>
        </is>
      </c>
      <c r="H11" s="45" t="inlineStr">
        <is>
          <t>David Marquez (BSA/AML/OFAC Compliance), E03 row 7
Michelle Oropesa (Investment Operations), E03 row 60</t>
        </is>
      </c>
      <c r="I11" s="42" t="inlineStr">
        <is>
          <t>David Marquez: BCiC approval 11/15/2025; approval evidence 08/19/2026
Michelle Oropesa: BCiC approval 08/17/2026; approval evidence 08/17/2026</t>
        </is>
      </c>
      <c r="J11" s="42"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42" t="inlineStr">
        <is>
          <t>Yes, application-specific business line manager approval evidence obtained for every DIV record:
David Marquez: DMA02 email with attached signed attestation 08/19/2026
Michelle Oropesa: DMA04 email with attached signed attestation 08/17/2026</t>
        </is>
      </c>
      <c r="L11"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45" t="inlineStr">
        <is>
          <t>PASS. DIV testing for the application was executed during the 11/15/2025 annual DR exercise (within the review period) and in the prior annual cycle (2024 Full DR Test 10/19/2024).</t>
        </is>
      </c>
      <c r="N11"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1" s="45"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P11" s="45" t="inlineStr">
        <is>
          <t>PASS. DIV results, business tester, validation date, manager approval and attestation fields are recorded in BCMS (BC in the Cloud) for this application.</t>
        </is>
      </c>
      <c r="Q11" s="45" t="inlineStr">
        <is>
          <t>PASS. All five control attributes are met (Annual Testing Executed, DIV Performed by IT DR Team, Applications in Scope Identified, Business Line Approval of Results, Results Documented in BCMS).</t>
        </is>
      </c>
      <c r="R11"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11" s="44" t="inlineStr">
        <is>
          <t>PASS. DIV executed and validated (Y/Y/Y) during the 11/15/2025 annual DR exercise, application in scope (MA01), results documented in BCiC/BCMS and approved by business line management (David Marquez, Michelle Oropesa).</t>
        </is>
      </c>
    </row>
    <row r="12" ht="409" customFormat="1" customHeight="1" s="37">
      <c r="A12" s="47" t="n">
        <v>1937</v>
      </c>
      <c r="B12" s="42" t="inlineStr">
        <is>
          <t>T24 (Application ID 1937)</t>
        </is>
      </c>
      <c r="C12" s="45"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D12" s="42" t="inlineStr">
        <is>
          <t>BSI IT DR Exercise on 11/15/2025 (actual Disaster Recovery exercise; BSI production failed over from the main Miami datacenter (Telefonica) to the DR site).</t>
        </is>
      </c>
      <c r="E12"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2" s="45"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t>
        </is>
      </c>
      <c r="G12" s="42" t="inlineStr">
        <is>
          <t>11/15/2025, data validated during the DR exercise; Format / Headers / Content = Y / Y / Y for 36 of 36 records; no data integrity exceptions.</t>
        </is>
      </c>
      <c r="H12" s="42"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t>
        </is>
      </c>
      <c r="I12" s="45"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42"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42"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45" t="inlineStr">
        <is>
          <t>PASS. DIV testing for the application was executed during the 11/15/2025 annual DR exercise (within the review period) and in the prior annual cycle (2024 Full DR Test 10/19/2024).</t>
        </is>
      </c>
      <c r="N12"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2" s="45"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P12" s="45" t="inlineStr">
        <is>
          <t>PASS. DIV results, business tester, validation date, manager approval and attestation fields are recorded in BCMS (BC in the Cloud) for this application.</t>
        </is>
      </c>
      <c r="Q12" s="45" t="inlineStr">
        <is>
          <t>PASS. All five control attributes are met (Annual Testing Executed, DIV Performed by IT DR Team, Applications in Scope Identified, Business Line Approval of Results, Results Documented in BCMS).</t>
        </is>
      </c>
      <c r="R12"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2" s="44" t="inlineStr">
        <is>
          <t>PASS.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row>
    <row r="13">
      <c r="S13" s="38" t="n"/>
    </row>
    <row r="14">
      <c r="S14" s="38" t="n"/>
    </row>
    <row r="15">
      <c r="S15" s="38" t="n"/>
    </row>
    <row r="16">
      <c r="S16" s="38" t="n"/>
    </row>
    <row r="17">
      <c r="S17" s="38" t="n"/>
    </row>
    <row r="18">
      <c r="S18" s="38" t="n"/>
    </row>
  </sheetData>
  <mergeCells count="1">
    <mergeCell ref="A1:M1"/>
  </mergeCells>
  <hyperlinks>
    <hyperlink ref="B2" location="'Application Attribute Testing'!A3" tooltip="Go to Application Name evidence review"/>
    <hyperlink ref="C2" location="'Application Attribute Testing'!A7" tooltip="Go to Applications in Scope Identified evidence review"/>
    <hyperlink ref="D2" location="'Application Attribute Testing'!A11" tooltip="Go to IT DR exercise name evidence review"/>
    <hyperlink ref="E2" location="'Application Attribute Testing'!A15" tooltip="Go to IT DR exercise name, was the exercise annually executed? evidence review"/>
    <hyperlink ref="F2" location="'Application Attribute Testing'!A19" tooltip="Go to Business Tester evidence review"/>
    <hyperlink ref="G2" location="'Application Attribute Testing'!A23" tooltip="Go to Business Data validation evidence review"/>
    <hyperlink ref="H2" location="'Application Attribute Testing'!A27" tooltip="Go to Business line manager name evidence review"/>
    <hyperlink ref="I2" location="'Application Attribute Testing'!A31" tooltip="Go to Business line manager approval dates evidence review"/>
    <hyperlink ref="J2" location="'Application Attribute Testing'!A35" tooltip="Go to DIV Test procedures listed within the Test results document evidence review"/>
    <hyperlink ref="K2" location="'Application Attribute Testing'!A39" tooltip="Go to Emails showing Business line manager approval of DIV testing results evidence review"/>
    <hyperlink ref="L2" location="'Application Attribute Testing'!A47" tooltip="Go to All evidence of Data Integrity DR test in BCIC evidence review"/>
    <hyperlink ref="M2" location="'Application Attribute Testing'!A51" tooltip="Go to Annual Testing Executed evidence review"/>
    <hyperlink ref="N2" location="'Application Attribute Testing'!A55" tooltip="Go to Data Integrity Validation Performed by IT DR Team evidence review"/>
    <hyperlink ref="O2" location="'Application Attribute Testing'!A59" tooltip="Go to Business Line Approval of Results evidence review"/>
    <hyperlink ref="P2" location="'Application Attribute Testing'!A67" tooltip="Go to Results Documented in BCMS evidence review"/>
    <hyperlink ref="Q2" location="'Application Attribute Testing'!A113" tooltip="Go to conclusion table"/>
    <hyperlink ref="S2" location="'Application Attribute Testing'!A113" tooltip="Go to conclusion table"/>
    <hyperlink ref="A3" location="'Application Attribute Testing'!A115" tooltip="Go to sample 1822 conclusion"/>
    <hyperlink ref="R3" location="'Application Attribute Testing'!A71" tooltip="Go to evidence file reviews"/>
    <hyperlink ref="A4" location="'Application Attribute Testing'!A116" tooltip="Go to sample 1867 conclusion"/>
    <hyperlink ref="R4" location="'Application Attribute Testing'!A71" tooltip="Go to evidence file reviews"/>
    <hyperlink ref="A5" location="'Application Attribute Testing'!A117" tooltip="Go to sample 1868 conclusion"/>
    <hyperlink ref="R5" location="'Application Attribute Testing'!A71" tooltip="Go to evidence file reviews"/>
    <hyperlink ref="A6" location="'Application Attribute Testing'!A118" tooltip="Go to sample 3299 conclusion"/>
    <hyperlink ref="R6" location="'Application Attribute Testing'!A71" tooltip="Go to evidence file reviews"/>
    <hyperlink ref="A7" location="'Application Attribute Testing'!A119" tooltip="Go to sample 4052 conclusion"/>
    <hyperlink ref="R7" location="'Application Attribute Testing'!A71" tooltip="Go to evidence file reviews"/>
    <hyperlink ref="A8" location="'Application Attribute Testing'!A120" tooltip="Go to sample 3301 conclusion"/>
    <hyperlink ref="R8" location="'Application Attribute Testing'!A71" tooltip="Go to evidence file reviews"/>
    <hyperlink ref="A9" location="'Application Attribute Testing'!A121" tooltip="Go to sample 1903 conclusion"/>
    <hyperlink ref="R9" location="'Application Attribute Testing'!A71" tooltip="Go to evidence file reviews"/>
    <hyperlink ref="A10" location="'Application Attribute Testing'!A122" tooltip="Go to sample 1917 conclusion"/>
    <hyperlink ref="R10" location="'Application Attribute Testing'!A71" tooltip="Go to evidence file reviews"/>
    <hyperlink ref="A11" location="'Application Attribute Testing'!A123" tooltip="Go to sample 1936 conclusion"/>
    <hyperlink ref="R11" location="'Application Attribute Testing'!A71" tooltip="Go to evidence file reviews"/>
    <hyperlink ref="A12" location="'Application Attribute Testing'!A124" tooltip="Go to sample 1937 conclusion"/>
    <hyperlink ref="R12" location="'Application Attribute Testing'!A71" tooltip="Go to evidence file reviews"/>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25"/>
  <sheetViews>
    <sheetView zoomScaleNormal="100" workbookViewId="0">
      <selection activeCell="C5" sqref="C5"/>
    </sheetView>
  </sheetViews>
  <sheetFormatPr baseColWidth="8" defaultRowHeight="14"/>
  <cols>
    <col width="8.75" customWidth="1" style="50" min="1" max="1"/>
    <col width="71.75" customWidth="1" style="50" min="2" max="2"/>
    <col width="37.83203125" customWidth="1" style="50" min="3" max="3"/>
    <col width="39.75" customWidth="1" style="50" min="4" max="4"/>
    <col width="61.5" customWidth="1" style="50" min="5" max="5"/>
    <col width="113.75" customWidth="1" style="50" min="6" max="6"/>
    <col width="48.08203125" customWidth="1" style="65" min="7" max="7"/>
    <col width="8" customWidth="1" style="68" min="8" max="22"/>
    <col width="8" customWidth="1" style="85" min="23" max="36"/>
    <col width="8.6640625" customWidth="1" style="85" min="37" max="51"/>
  </cols>
  <sheetData>
    <row r="1" ht="75.5" customHeight="1" s="50">
      <c r="A1" s="81" t="inlineStr">
        <is>
          <t>BSI.IT.6.C7.3: DR Data Integrity Validation, Testing of attributes (Scope, Email approval and all attributes)</t>
        </is>
      </c>
    </row>
    <row r="2" s="50">
      <c r="A2" s="74" t="n"/>
      <c r="B2" s="74" t="n"/>
      <c r="C2" s="74" t="n"/>
      <c r="D2" s="74" t="n"/>
      <c r="E2" s="74" t="n"/>
      <c r="F2" s="74" t="n"/>
    </row>
    <row r="3" ht="41" customHeight="1" s="50">
      <c r="A3" s="101" t="inlineStr">
        <is>
          <t>1. Application Name (column B): review of evidence files and results</t>
        </is>
      </c>
      <c r="B3" s="97" t="n"/>
      <c r="C3" s="97" t="n"/>
      <c r="D3" s="97" t="n"/>
      <c r="E3" s="97" t="n"/>
      <c r="F3" s="97" t="n"/>
      <c r="G3" s="98"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B), samples 1822, 1867, 1868, 3299, 4052, 3301, 1903, 1917, 1936, 1937</t>
        </is>
      </c>
      <c r="G5" s="77" t="inlineStr">
        <is>
          <t>PASS</t>
        </is>
      </c>
      <c r="H5" s="69" t="n"/>
      <c r="I5" s="70" t="n"/>
      <c r="J5" s="70" t="n"/>
      <c r="K5" s="70" t="n"/>
      <c r="L5" s="70" t="n"/>
      <c r="M5" s="70" t="n"/>
    </row>
    <row r="6" s="50">
      <c r="A6" s="74" t="n"/>
      <c r="B6" s="74" t="n"/>
      <c r="C6" s="74" t="n"/>
      <c r="D6" s="74" t="n"/>
      <c r="E6" s="74" t="n"/>
      <c r="F6" s="74" t="n"/>
      <c r="G6" s="74" t="n"/>
      <c r="H6" s="74" t="n"/>
      <c r="I6" s="74" t="n"/>
      <c r="J6" s="74" t="n"/>
      <c r="K6" s="74" t="n"/>
      <c r="L6" s="74" t="n"/>
      <c r="M6" s="74" t="n"/>
      <c r="N6" s="74" t="n"/>
      <c r="O6" s="74" t="n"/>
      <c r="P6" s="74" t="n"/>
      <c r="Q6" s="74" t="n"/>
      <c r="R6" s="74" t="n"/>
      <c r="S6" s="74" t="n"/>
      <c r="T6" s="74" t="n"/>
      <c r="U6" s="74" t="n"/>
      <c r="V6" s="74" t="n"/>
      <c r="W6" s="74" t="n"/>
      <c r="X6" s="74" t="n"/>
      <c r="Y6" s="74" t="n"/>
      <c r="Z6" s="74" t="n"/>
      <c r="AA6" s="74" t="n"/>
    </row>
    <row r="7" ht="15.5" customHeight="1" s="50">
      <c r="A7" s="101" t="inlineStr">
        <is>
          <t>2. Applications in Scope Identified (column C): review of evidence files and results</t>
        </is>
      </c>
      <c r="B7" s="97" t="n"/>
      <c r="C7" s="97" t="n"/>
      <c r="D7" s="97" t="n"/>
      <c r="E7" s="97" t="n"/>
      <c r="F7" s="97" t="n"/>
      <c r="G7" s="98"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row>
    <row r="9" ht="409" customHeight="1" s="50">
      <c r="A9" s="78" t="inlineStr">
        <is>
          <t>MA01</t>
        </is>
      </c>
      <c r="B9"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76" t="inlineStr">
        <is>
          <t>09/23/2026, Cesar Vidal (BCiC walkthrough)</t>
        </is>
      </c>
      <c r="D9" s="76" t="inlineStr">
        <is>
          <t>1822 ACH Express
1867 FedExport - BSI
1868 FedImport - BSI
3299 Imaging101
4052 Interface Monitor
3301 MQ Payment Monitor
1903 OFAC - BSI
1917 ReconXpert
1936 Swift Interface - BSI
1937 T24</t>
        </is>
      </c>
      <c r="E9"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76" t="inlineStr">
        <is>
          <t>Supports Applications in Scope Identified (column C), samples 1822, 1867, 1868, 3299, 4052, 3301, 1903, 1917, 1936, 1937</t>
        </is>
      </c>
      <c r="G9" s="77" t="inlineStr">
        <is>
          <t>PASS</t>
        </is>
      </c>
      <c r="H9" s="70" t="n"/>
      <c r="I9" s="69" t="n"/>
      <c r="J9" s="70" t="n"/>
      <c r="K9" s="70" t="n"/>
      <c r="L9" s="70" t="n"/>
      <c r="M9" s="70" t="n"/>
    </row>
    <row r="10" s="50">
      <c r="A10" s="74" t="n"/>
      <c r="B10" s="74" t="n"/>
      <c r="C10" s="74" t="n"/>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c r="X10" s="74" t="n"/>
      <c r="Y10" s="74" t="n"/>
      <c r="Z10" s="74" t="n"/>
      <c r="AA10" s="74" t="n"/>
    </row>
    <row r="11" ht="15.5" customHeight="1" s="50">
      <c r="A11" s="101" t="inlineStr">
        <is>
          <t>3. IT DR exercise name (column D): review of evidence files and results</t>
        </is>
      </c>
      <c r="B11" s="97" t="n"/>
      <c r="C11" s="97" t="n"/>
      <c r="D11" s="97" t="n"/>
      <c r="E11" s="97" t="n"/>
      <c r="F11" s="97" t="n"/>
      <c r="G11" s="98" t="n"/>
    </row>
    <row r="12" ht="26" customHeight="1" s="50">
      <c r="A12" s="73" t="inlineStr">
        <is>
          <t>Ref</t>
        </is>
      </c>
      <c r="B12" s="73" t="inlineStr">
        <is>
          <t>Evidence file (repository location)</t>
        </is>
      </c>
      <c r="C12" s="73" t="inlineStr">
        <is>
          <t>Date / owner / operator</t>
        </is>
      </c>
      <c r="D12" s="73" t="inlineStr">
        <is>
          <t>Applications tested (source rows)</t>
        </is>
      </c>
      <c r="E12" s="73" t="inlineStr">
        <is>
          <t>Content reviewed</t>
        </is>
      </c>
      <c r="F12" s="73" t="inlineStr">
        <is>
          <t>Conclusion / samples supported</t>
        </is>
      </c>
      <c r="G12" s="73" t="inlineStr">
        <is>
          <t>Control Sample Assessment Result (Pass/Fail)</t>
        </is>
      </c>
      <c r="H12" s="67" t="n"/>
    </row>
    <row r="13" ht="126" customHeight="1" s="50">
      <c r="A13" s="78" t="inlineStr">
        <is>
          <t>E01</t>
        </is>
      </c>
      <c r="B1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76" t="inlineStr">
        <is>
          <t>BCiC: Applications In Scope for DR Test BSI</t>
        </is>
      </c>
      <c r="D1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76" t="inlineStr">
        <is>
          <t>BCiC export of the BSI DR-scope population (43 applications) with Exercise Date and 2025 DR / Backup-Restore / DIV scope flags.
Checked for IT DR exercise name:
Exercise Date 12/11/25, 2025 DR Test Scope = True
Exercise Date 11/15/25, 2025 DR Test Scope = True</t>
        </is>
      </c>
      <c r="F13" s="76" t="inlineStr">
        <is>
          <t>Supports IT DR exercise name (column D), samples 1822, 1867, 1868, 3299, 4052, 3301, 1903, 1917, 1936, 1937</t>
        </is>
      </c>
      <c r="G13" s="77" t="inlineStr">
        <is>
          <t>PASS</t>
        </is>
      </c>
      <c r="H13" s="70" t="n"/>
      <c r="I13" s="70" t="n"/>
      <c r="J13" s="70" t="n"/>
      <c r="K13" s="70" t="n"/>
      <c r="L13" s="70" t="n"/>
      <c r="M13" s="70" t="n"/>
      <c r="N13" s="69" t="n"/>
      <c r="O13" s="70" t="n"/>
      <c r="P13" s="70" t="n"/>
    </row>
    <row r="14" s="50">
      <c r="A14" s="74" t="n"/>
      <c r="B14" s="74" t="n"/>
      <c r="C14" s="74" t="n"/>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c r="X14" s="74" t="n"/>
      <c r="Y14" s="74" t="n"/>
      <c r="Z14" s="74" t="n"/>
      <c r="AA14" s="74" t="n"/>
    </row>
    <row r="15" ht="41" customHeight="1" s="50">
      <c r="A15" s="101" t="inlineStr">
        <is>
          <t>4. IT DR exercise name, was the exercise annually executed? (column E): review of evidence files and results</t>
        </is>
      </c>
      <c r="B15" s="97" t="n"/>
      <c r="C15" s="97" t="n"/>
      <c r="D15" s="97" t="n"/>
      <c r="E15" s="97" t="n"/>
      <c r="F15" s="97" t="n"/>
      <c r="G15" s="98" t="n"/>
    </row>
    <row r="16" ht="26" customHeight="1" s="50">
      <c r="A16" s="73" t="inlineStr">
        <is>
          <t>Ref</t>
        </is>
      </c>
      <c r="B16" s="73" t="inlineStr">
        <is>
          <t>Evidence file (repository location)</t>
        </is>
      </c>
      <c r="C16" s="73" t="inlineStr">
        <is>
          <t>Date / owner / operator</t>
        </is>
      </c>
      <c r="D16" s="73" t="inlineStr">
        <is>
          <t>Applications tested (source rows)</t>
        </is>
      </c>
      <c r="E16" s="73" t="inlineStr">
        <is>
          <t>Content reviewed</t>
        </is>
      </c>
      <c r="F16" s="73" t="inlineStr">
        <is>
          <t>Conclusion / samples supported</t>
        </is>
      </c>
      <c r="G16" s="73" t="inlineStr">
        <is>
          <t>Control Sample Assessment Result (Pass/Fail)</t>
        </is>
      </c>
      <c r="H16" s="67" t="n"/>
    </row>
    <row r="17" ht="126" customHeight="1" s="50">
      <c r="A17" s="78" t="inlineStr">
        <is>
          <t>E01</t>
        </is>
      </c>
      <c r="B17"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76" t="inlineStr">
        <is>
          <t>BCiC: Applications In Scope for DR Test BSI</t>
        </is>
      </c>
      <c r="D17"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76"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2025 cycle: BSI IT DR Exercise 11/15/2025 (within the review period 08/01/2025 to 06/01/2026).
2024 cycle: 2024 Full 2024 DR Test (Virginia) 10/19/2024, see tab 'DR 2024 Testing Results'.
Interval 10/19/2024 to 11/15/2025 = 392 days; one DR / DIV exercise in each annual cycle.</t>
        </is>
      </c>
      <c r="F17" s="76" t="inlineStr">
        <is>
          <t>Supports IT DR exercise name, was the exercise annually executed? (column E), samples 1822, 1867, 1868, 3299, 4052, 3301, 1903, 1917, 1936, 1937</t>
        </is>
      </c>
      <c r="G17" s="77" t="inlineStr">
        <is>
          <t>PASS</t>
        </is>
      </c>
      <c r="H17" s="70" t="n"/>
      <c r="I17" s="70" t="n"/>
      <c r="J17" s="70" t="n"/>
      <c r="K17" s="70" t="n"/>
      <c r="L17" s="70" t="n"/>
      <c r="M17" s="70" t="n"/>
      <c r="N17" s="69" t="n"/>
      <c r="O17" s="70" t="n"/>
    </row>
    <row r="18" s="50">
      <c r="A18" s="74" t="n"/>
      <c r="B18" s="74" t="n"/>
      <c r="C18" s="74" t="n"/>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c r="X18" s="74" t="n"/>
      <c r="Y18" s="74" t="n"/>
      <c r="Z18" s="74" t="n"/>
      <c r="AA18" s="74" t="n"/>
    </row>
    <row r="19" ht="15.5" customHeight="1" s="50">
      <c r="A19" s="101" t="inlineStr">
        <is>
          <t>5. Business Tester (column F): review of evidence files and results</t>
        </is>
      </c>
      <c r="B19" s="97" t="n"/>
      <c r="C19" s="97" t="n"/>
      <c r="D19" s="97" t="n"/>
      <c r="E19" s="97" t="n"/>
      <c r="F19" s="97" t="n"/>
      <c r="G19" s="98" t="n"/>
    </row>
    <row r="20" ht="26" customHeight="1" s="50">
      <c r="A20" s="73" t="inlineStr">
        <is>
          <t>Ref</t>
        </is>
      </c>
      <c r="B20" s="73" t="inlineStr">
        <is>
          <t>Evidence file (repository location)</t>
        </is>
      </c>
      <c r="C20" s="73" t="inlineStr">
        <is>
          <t>Date / owner / operator</t>
        </is>
      </c>
      <c r="D20" s="73" t="inlineStr">
        <is>
          <t>Applications tested (source rows)</t>
        </is>
      </c>
      <c r="E20" s="73" t="inlineStr">
        <is>
          <t>Content reviewed</t>
        </is>
      </c>
      <c r="F20" s="73" t="inlineStr">
        <is>
          <t>Conclusion / samples supported</t>
        </is>
      </c>
      <c r="G20" s="73" t="inlineStr">
        <is>
          <t>Control Sample Assessment Result (Pass/Fail)</t>
        </is>
      </c>
      <c r="H20" s="67" t="n"/>
    </row>
    <row r="21" ht="174" customHeight="1" s="50">
      <c r="A21" s="78" t="inlineStr">
        <is>
          <t>E03</t>
        </is>
      </c>
      <c r="B2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76" t="inlineStr">
        <is>
          <t>BCiC: Data Integrity Validation Testing (62 records)</t>
        </is>
      </c>
      <c r="D21"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76" t="inlineStr">
        <is>
          <t>BCiC DIV export incl. Business Tester, Business Data Validation Date, Department Manager, Department Manager Approval Date, Y/N Format/Headers/Content, Attestation Date / Provided By. Row numbers quoted are Excel rows.
Checked for Business Tester:
'Business Tester(s)' column</t>
        </is>
      </c>
      <c r="F21" s="76" t="inlineStr">
        <is>
          <t>Supports Business Tester (column F), samples 1822, 1867, 1868, 3299, 4052, 3301, 1903, 1917, 1936, 1937</t>
        </is>
      </c>
      <c r="G21" s="77" t="inlineStr">
        <is>
          <t>PASS</t>
        </is>
      </c>
      <c r="H21" s="70" t="n"/>
      <c r="I21" s="70" t="n"/>
      <c r="J21" s="70" t="n"/>
      <c r="K21" s="70" t="n"/>
      <c r="L21" s="70" t="n"/>
      <c r="M21" s="69" t="n"/>
      <c r="N21" s="70" t="n"/>
      <c r="O21" s="70" t="n"/>
      <c r="P21" s="70" t="n"/>
    </row>
    <row r="22" s="50">
      <c r="A22" s="74" t="n"/>
      <c r="B22" s="74" t="n"/>
      <c r="C22" s="74" t="n"/>
      <c r="D22" s="74" t="n"/>
      <c r="E22" s="74" t="n"/>
      <c r="F22" s="74" t="n"/>
      <c r="G22" s="74" t="n"/>
      <c r="H22" s="74" t="n"/>
      <c r="I22" s="74" t="n"/>
      <c r="J22" s="74" t="n"/>
      <c r="K22" s="74" t="n"/>
      <c r="L22" s="74" t="n"/>
      <c r="M22" s="74" t="n"/>
      <c r="N22" s="74" t="n"/>
      <c r="O22" s="74" t="n"/>
      <c r="P22" s="74" t="n"/>
      <c r="Q22" s="74" t="n"/>
      <c r="R22" s="74" t="n"/>
      <c r="S22" s="74" t="n"/>
      <c r="T22" s="74" t="n"/>
      <c r="U22" s="74" t="n"/>
      <c r="V22" s="74" t="n"/>
      <c r="W22" s="74" t="n"/>
      <c r="X22" s="74" t="n"/>
      <c r="Y22" s="74" t="n"/>
      <c r="Z22" s="74" t="n"/>
      <c r="AA22" s="74" t="n"/>
    </row>
    <row r="23" ht="15.5" customHeight="1" s="50">
      <c r="A23" s="101" t="inlineStr">
        <is>
          <t>6. Business Data validation (column G): review of evidence files and results</t>
        </is>
      </c>
      <c r="B23" s="97" t="n"/>
      <c r="C23" s="97" t="n"/>
      <c r="D23" s="97" t="n"/>
      <c r="E23" s="97" t="n"/>
      <c r="F23" s="97" t="n"/>
      <c r="G23" s="98" t="n"/>
    </row>
    <row r="24" ht="26" customHeight="1" s="50">
      <c r="A24" s="73" t="inlineStr">
        <is>
          <t>Ref</t>
        </is>
      </c>
      <c r="B24" s="73" t="inlineStr">
        <is>
          <t>Evidence file (repository location)</t>
        </is>
      </c>
      <c r="C24" s="73" t="inlineStr">
        <is>
          <t>Date / owner / operator</t>
        </is>
      </c>
      <c r="D24" s="73" t="inlineStr">
        <is>
          <t>Applications tested (source rows)</t>
        </is>
      </c>
      <c r="E24" s="73" t="inlineStr">
        <is>
          <t>Content reviewed</t>
        </is>
      </c>
      <c r="F24" s="73" t="inlineStr">
        <is>
          <t>Conclusion / samples supported</t>
        </is>
      </c>
      <c r="G24" s="73" t="inlineStr">
        <is>
          <t>Control Sample Assessment Result (Pass/Fail)</t>
        </is>
      </c>
      <c r="H24" s="67" t="n"/>
    </row>
    <row r="25" ht="174"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76" t="inlineStr">
        <is>
          <t>BCiC DIV export incl. Business Tester, Business Data Validation Date, Department Manager, Department Manager Approval Date, Y/N Format/Headers/Content, Attestation Date / Provided By. Row numbers quoted are Excel rows.
Checked for Business Data validation:
Business Data Validation Date 11/15/2025; Y/N Format / Headers / Content = Y</t>
        </is>
      </c>
      <c r="F25" s="76" t="inlineStr">
        <is>
          <t>Supports Business Data validation (column G), samples 1822, 1867, 1868, 3299, 4052, 3301, 1903, 1917, 1936, 1937</t>
        </is>
      </c>
      <c r="G25" s="77" t="inlineStr">
        <is>
          <t>PASS</t>
        </is>
      </c>
      <c r="H25" s="70" t="n"/>
      <c r="I25" s="70" t="n"/>
      <c r="J25" s="70" t="n"/>
      <c r="K25" s="70" t="n"/>
      <c r="L25" s="70" t="n"/>
      <c r="M25" s="69" t="n"/>
      <c r="N25" s="70" t="n"/>
      <c r="O25" s="70" t="n"/>
      <c r="P25" s="70" t="n"/>
      <c r="Q25" s="70" t="n"/>
    </row>
    <row r="26" s="50">
      <c r="A26" s="74" t="n"/>
      <c r="B26" s="74" t="n"/>
      <c r="C26" s="74" t="n"/>
      <c r="D26" s="74" t="n"/>
      <c r="E26" s="74" t="n"/>
      <c r="F26" s="74" t="n"/>
      <c r="G26" s="74" t="n"/>
      <c r="H26" s="74" t="n"/>
      <c r="I26" s="74" t="n"/>
      <c r="J26" s="74" t="n"/>
      <c r="K26" s="74" t="n"/>
      <c r="L26" s="74" t="n"/>
      <c r="M26" s="74" t="n"/>
      <c r="N26" s="74" t="n"/>
      <c r="O26" s="74" t="n"/>
      <c r="P26" s="74" t="n"/>
      <c r="Q26" s="74" t="n"/>
      <c r="R26" s="74" t="n"/>
      <c r="S26" s="74" t="n"/>
      <c r="T26" s="74" t="n"/>
      <c r="U26" s="74" t="n"/>
      <c r="V26" s="74" t="n"/>
      <c r="W26" s="74" t="n"/>
      <c r="X26" s="74" t="n"/>
      <c r="Y26" s="74" t="n"/>
      <c r="Z26" s="74" t="n"/>
      <c r="AA26" s="74" t="n"/>
    </row>
    <row r="27" ht="15.5" customHeight="1" s="50">
      <c r="A27" s="101" t="inlineStr">
        <is>
          <t>7. Business line manager name (column H): review of evidence files and results</t>
        </is>
      </c>
      <c r="B27" s="97" t="n"/>
      <c r="C27" s="97" t="n"/>
      <c r="D27" s="97" t="n"/>
      <c r="E27" s="97" t="n"/>
      <c r="F27" s="97" t="n"/>
      <c r="G27" s="98" t="n"/>
    </row>
    <row r="28" ht="26" customHeight="1" s="50">
      <c r="A28" s="73" t="inlineStr">
        <is>
          <t>Ref</t>
        </is>
      </c>
      <c r="B28" s="73" t="inlineStr">
        <is>
          <t>Evidence file (repository location)</t>
        </is>
      </c>
      <c r="C28" s="73" t="inlineStr">
        <is>
          <t>Date / owner / operator</t>
        </is>
      </c>
      <c r="D28" s="73" t="inlineStr">
        <is>
          <t>Applications tested (source rows)</t>
        </is>
      </c>
      <c r="E28" s="73" t="inlineStr">
        <is>
          <t>Content reviewed</t>
        </is>
      </c>
      <c r="F28" s="73" t="inlineStr">
        <is>
          <t>Conclusion / samples supported</t>
        </is>
      </c>
      <c r="G28" s="73" t="inlineStr">
        <is>
          <t>Control Sample Assessment Result (Pass/Fail)</t>
        </is>
      </c>
      <c r="H28" s="67" t="n"/>
    </row>
    <row r="29" ht="174" customHeight="1" s="50">
      <c r="A29" s="78" t="inlineStr">
        <is>
          <t>E03</t>
        </is>
      </c>
      <c r="B2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76" t="inlineStr">
        <is>
          <t>BCiC: Data Integrity Validation Testing (62 records)</t>
        </is>
      </c>
      <c r="D2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76" t="inlineStr">
        <is>
          <t>BCiC DIV export incl. Business Tester, Business Data Validation Date, Department Manager, Department Manager Approval Date, Y/N Format/Headers/Content, Attestation Date / Provided By. Row numbers quoted are Excel rows.
Checked for Business line manager name:
'Department Manager' column</t>
        </is>
      </c>
      <c r="F29" s="76" t="inlineStr">
        <is>
          <t>Supports Business line manager name (column H), samples 1822, 1867, 1868, 3299, 4052, 3301, 1903, 1917, 1936, 1937</t>
        </is>
      </c>
      <c r="G29" s="77" t="inlineStr">
        <is>
          <t>PASS</t>
        </is>
      </c>
      <c r="H29" s="70" t="n"/>
      <c r="I29" s="70" t="n"/>
      <c r="J29" s="70" t="n"/>
      <c r="K29" s="70" t="n"/>
      <c r="L29" s="70" t="n"/>
      <c r="M29" s="70" t="n"/>
      <c r="N29" s="70" t="n"/>
      <c r="O29" s="70" t="n"/>
      <c r="P29" s="70" t="n"/>
      <c r="Q29" s="70" t="n"/>
      <c r="R29" s="70" t="n"/>
      <c r="S29" s="70" t="n"/>
      <c r="T29" s="70" t="n"/>
      <c r="U29" s="69" t="n"/>
      <c r="V29" s="86" t="n"/>
      <c r="W29" s="87" t="n"/>
    </row>
    <row r="30" s="50">
      <c r="A30" s="74" t="n"/>
      <c r="B30" s="74" t="n"/>
      <c r="C30" s="74" t="n"/>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c r="X30" s="74" t="n"/>
      <c r="Y30" s="74" t="n"/>
      <c r="Z30" s="74" t="n"/>
      <c r="AA30" s="74" t="n"/>
    </row>
    <row r="31" ht="15.5" customHeight="1" s="50">
      <c r="A31" s="101" t="inlineStr">
        <is>
          <t>8. Business line manager approval dates (column I): review of evidence files and results</t>
        </is>
      </c>
      <c r="B31" s="97" t="n"/>
      <c r="C31" s="97" t="n"/>
      <c r="D31" s="97" t="n"/>
      <c r="E31" s="97" t="n"/>
      <c r="F31" s="97" t="n"/>
      <c r="G31" s="98" t="n"/>
    </row>
    <row r="32" ht="26" customHeight="1" s="50">
      <c r="A32" s="73" t="inlineStr">
        <is>
          <t>Ref</t>
        </is>
      </c>
      <c r="B32" s="73" t="inlineStr">
        <is>
          <t>Evidence file (repository location)</t>
        </is>
      </c>
      <c r="C32" s="73" t="inlineStr">
        <is>
          <t>Date / owner / operator</t>
        </is>
      </c>
      <c r="D32" s="73" t="inlineStr">
        <is>
          <t>Applications tested (source rows)</t>
        </is>
      </c>
      <c r="E32" s="73" t="inlineStr">
        <is>
          <t>Content reviewed</t>
        </is>
      </c>
      <c r="F32" s="73" t="inlineStr">
        <is>
          <t>Conclusion / samples supported</t>
        </is>
      </c>
      <c r="G32" s="73" t="inlineStr">
        <is>
          <t>Control Sample Assessment Result (Pass/Fail)</t>
        </is>
      </c>
      <c r="H32" s="67" t="n"/>
    </row>
    <row r="33" ht="174" customHeight="1" s="50">
      <c r="A33" s="78" t="inlineStr">
        <is>
          <t>E03</t>
        </is>
      </c>
      <c r="B33"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76" t="inlineStr">
        <is>
          <t>BCiC: Data Integrity Validation Testing (62 records)</t>
        </is>
      </c>
      <c r="D33"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76" t="inlineStr">
        <is>
          <t>BCiC DIV export incl. Business Tester, Business Data Validation Date, Department Manager, Department Manager Approval Date, Y/N Format/Headers/Content, Attestation Date / Provided By. Row numbers quoted are Excel rows.
Checked for Business line manager approval dates:
'Department Manager Approval Date' and 'Attestation Date' columns</t>
        </is>
      </c>
      <c r="F33" s="76" t="inlineStr">
        <is>
          <t>Supports Business line manager approval dates (column I), samples 1822, 1867, 1868, 3299, 4052, 3301, 1903, 1917, 1936, 1937</t>
        </is>
      </c>
      <c r="G33" s="77" t="inlineStr">
        <is>
          <t>PASS</t>
        </is>
      </c>
      <c r="H33" s="70" t="n"/>
      <c r="I33" s="70" t="n"/>
      <c r="J33" s="70" t="n"/>
      <c r="K33" s="70" t="n"/>
      <c r="L33" s="70" t="n"/>
      <c r="M33" s="70" t="n"/>
      <c r="N33" s="70" t="n"/>
      <c r="O33" s="70" t="n"/>
      <c r="P33" s="70" t="n"/>
      <c r="Q33" s="70" t="n"/>
      <c r="R33" s="70" t="n"/>
      <c r="S33" s="70" t="n"/>
      <c r="T33" s="70" t="n"/>
      <c r="U33" s="69" t="n"/>
      <c r="V33" s="86" t="n"/>
      <c r="W33" s="87" t="n"/>
    </row>
    <row r="34" s="50">
      <c r="A34" s="74" t="n"/>
      <c r="B34" s="74" t="n"/>
      <c r="C34" s="74" t="n"/>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c r="X34" s="74" t="n"/>
      <c r="Y34" s="74" t="n"/>
      <c r="Z34" s="74" t="n"/>
      <c r="AA34" s="74" t="n"/>
    </row>
    <row r="35" ht="15.5" customHeight="1" s="50">
      <c r="A35" s="101" t="inlineStr">
        <is>
          <t>9. DIV Test procedures listed within the Test results document (column J): review of evidence files and results</t>
        </is>
      </c>
      <c r="B35" s="97" t="n"/>
      <c r="C35" s="97" t="n"/>
      <c r="D35" s="97" t="n"/>
      <c r="E35" s="97" t="n"/>
      <c r="F35" s="97" t="n"/>
      <c r="G35" s="98" t="n"/>
    </row>
    <row r="36" ht="26" customHeight="1" s="50">
      <c r="A36" s="73" t="inlineStr">
        <is>
          <t>Ref</t>
        </is>
      </c>
      <c r="B36" s="73" t="inlineStr">
        <is>
          <t>Evidence file (repository location)</t>
        </is>
      </c>
      <c r="C36" s="73" t="inlineStr">
        <is>
          <t>Date / owner / operator</t>
        </is>
      </c>
      <c r="D36" s="73" t="inlineStr">
        <is>
          <t>Applications tested (source rows)</t>
        </is>
      </c>
      <c r="E36" s="73" t="inlineStr">
        <is>
          <t>Content reviewed</t>
        </is>
      </c>
      <c r="F36" s="73" t="inlineStr">
        <is>
          <t>Conclusion / samples supported</t>
        </is>
      </c>
      <c r="G36" s="73" t="inlineStr">
        <is>
          <t>Control Sample Assessment Result (Pass/Fail)</t>
        </is>
      </c>
      <c r="H36" s="67" t="n"/>
    </row>
    <row r="37" ht="174" customHeight="1" s="50">
      <c r="A37" s="78" t="inlineStr">
        <is>
          <t>E03</t>
        </is>
      </c>
      <c r="B37"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76" t="inlineStr">
        <is>
          <t>BCiC: Data Integrity Validation Testing (62 records)</t>
        </is>
      </c>
      <c r="D37"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76"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'Data Integrity Validation Procedures' column</t>
        </is>
      </c>
      <c r="F37" s="76" t="inlineStr">
        <is>
          <t>Supports DIV Test procedures listed within the Test results document (column J), samples 1822, 1867, 1868, 3299, 4052, 3301, 1903, 1917, 1936, 1937</t>
        </is>
      </c>
      <c r="G37" s="77" t="inlineStr">
        <is>
          <t>PASS</t>
        </is>
      </c>
      <c r="H37" s="70" t="n"/>
      <c r="I37" s="70" t="n"/>
      <c r="J37" s="70" t="n"/>
      <c r="K37" s="70" t="n"/>
      <c r="L37" s="70" t="n"/>
      <c r="M37" s="69" t="n"/>
      <c r="N37" s="70" t="n"/>
    </row>
    <row r="38" s="50">
      <c r="A38" s="74" t="n"/>
      <c r="B38" s="74" t="n"/>
      <c r="C38" s="74" t="n"/>
      <c r="D38" s="74" t="n"/>
      <c r="E38" s="74" t="n"/>
      <c r="F38" s="74" t="n"/>
      <c r="G38" s="74" t="n"/>
      <c r="H38" s="74" t="n"/>
      <c r="I38" s="74" t="n"/>
      <c r="J38" s="74" t="n"/>
      <c r="K38" s="74" t="n"/>
      <c r="L38" s="74" t="n"/>
      <c r="M38" s="74" t="n"/>
      <c r="N38" s="74" t="n"/>
      <c r="O38" s="74" t="n"/>
      <c r="P38" s="74" t="n"/>
      <c r="Q38" s="74" t="n"/>
      <c r="R38" s="74" t="n"/>
      <c r="S38" s="74" t="n"/>
      <c r="T38" s="74" t="n"/>
      <c r="U38" s="74" t="n"/>
      <c r="V38" s="74" t="n"/>
      <c r="W38" s="74" t="n"/>
      <c r="X38" s="74" t="n"/>
      <c r="Y38" s="74" t="n"/>
      <c r="Z38" s="74" t="n"/>
      <c r="AA38" s="74" t="n"/>
    </row>
    <row r="39" ht="15.5" customHeight="1" s="50">
      <c r="A39" s="101" t="inlineStr">
        <is>
          <t>10. Emails showing Business line manager approval of DIV testing results (column K): review of evidence files and results</t>
        </is>
      </c>
      <c r="B39" s="97" t="n"/>
      <c r="C39" s="97" t="n"/>
      <c r="D39" s="97" t="n"/>
      <c r="E39" s="97" t="n"/>
      <c r="F39" s="97" t="n"/>
      <c r="G39" s="98" t="n"/>
    </row>
    <row r="40" ht="26" customHeight="1" s="50">
      <c r="A40" s="73" t="inlineStr">
        <is>
          <t>Ref</t>
        </is>
      </c>
      <c r="B40" s="73" t="inlineStr">
        <is>
          <t>Evidence file (repository location)</t>
        </is>
      </c>
      <c r="C40" s="73" t="inlineStr">
        <is>
          <t>Date / owner / operator</t>
        </is>
      </c>
      <c r="D40" s="73" t="inlineStr">
        <is>
          <t>Applications tested (source rows)</t>
        </is>
      </c>
      <c r="E40" s="73" t="inlineStr">
        <is>
          <t>Content reviewed</t>
        </is>
      </c>
      <c r="F40" s="73" t="inlineStr">
        <is>
          <t>Conclusion / samples supported</t>
        </is>
      </c>
      <c r="G40" s="73" t="inlineStr">
        <is>
          <t>Control Sample Assessment Result (Pass/Fail)</t>
        </is>
      </c>
      <c r="H40" s="67" t="n"/>
    </row>
    <row r="41" ht="90" customHeight="1" s="50">
      <c r="A41" s="78" t="inlineStr">
        <is>
          <t>BLA06</t>
        </is>
      </c>
      <c r="B4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76" t="inlineStr">
        <is>
          <t>12/31/2025 &amp; 01/26/2026, Sadis Alvarenga</t>
        </is>
      </c>
      <c r="D41" s="76" t="inlineStr">
        <is>
          <t>1917 ReconXpert
1937 T24</t>
        </is>
      </c>
      <c r="E41"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76" t="inlineStr">
        <is>
          <t>Supports Emails showing Business line manager approval of DIV testing results (column K), samples 1917, 1937</t>
        </is>
      </c>
      <c r="G41" s="77" t="inlineStr">
        <is>
          <t>PASS</t>
        </is>
      </c>
      <c r="H41" s="69" t="n"/>
      <c r="I41" s="69" t="n"/>
      <c r="J41" s="69" t="n"/>
      <c r="K41" s="69" t="n"/>
      <c r="L41" s="69" t="n"/>
      <c r="M41" s="70" t="n"/>
      <c r="N41" s="70" t="n"/>
      <c r="O41" s="70" t="n"/>
      <c r="P41" s="70" t="n"/>
      <c r="Q41" s="70" t="n"/>
      <c r="R41" s="70" t="n"/>
      <c r="S41" s="70" t="n"/>
      <c r="T41" s="70" t="n"/>
      <c r="U41" s="70" t="n"/>
    </row>
    <row r="42" ht="90" customHeight="1" s="50">
      <c r="A42" s="78" t="inlineStr">
        <is>
          <t>DMA01</t>
        </is>
      </c>
      <c r="B4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76" t="inlineStr">
        <is>
          <t>08/18/2026, Claudia Romero</t>
        </is>
      </c>
      <c r="D42" s="76" t="inlineStr">
        <is>
          <t>1822 ACH Express
1867 FedExport - BSI
1868 FedImport - BSI
3299 Imaging101
1937 T24</t>
        </is>
      </c>
      <c r="E42"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76" t="inlineStr">
        <is>
          <t>Supports Emails showing Business line manager approval of DIV testing results (column K), samples 1822, 1867, 1868, 3299, 1937</t>
        </is>
      </c>
      <c r="G42" s="77" t="inlineStr">
        <is>
          <t>PASS</t>
        </is>
      </c>
    </row>
    <row r="43" ht="148" customHeight="1" s="50">
      <c r="A43" s="78" t="inlineStr">
        <is>
          <t>DMA02</t>
        </is>
      </c>
      <c r="B4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76" t="inlineStr">
        <is>
          <t>08/19/2026, David Marquez</t>
        </is>
      </c>
      <c r="D43" s="76" t="inlineStr">
        <is>
          <t>3299 Imaging101
1903 OFAC - BSI
1936 Swift Interface - BSI
1937 T24</t>
        </is>
      </c>
      <c r="E4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
Checked for Emails showing Business line manager approval of DIV testing results:
Application / record agreed to the evidence.</t>
        </is>
      </c>
      <c r="F43" s="76" t="inlineStr">
        <is>
          <t>Supports Emails showing Business line manager approval of DIV testing results (column K), samples 3299, 1903, 1936, 1937</t>
        </is>
      </c>
      <c r="G43" s="77" t="inlineStr">
        <is>
          <t>PASS</t>
        </is>
      </c>
    </row>
    <row r="44" ht="90" customHeight="1" s="50">
      <c r="A44" s="78" t="inlineStr">
        <is>
          <t>DMA03</t>
        </is>
      </c>
      <c r="B4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76" t="inlineStr">
        <is>
          <t>08/18/2026, Frank Puentes</t>
        </is>
      </c>
      <c r="D44" s="76" t="inlineStr">
        <is>
          <t>3301 MQ Payment Monitor
1903 OFAC - BSI
1937 T24</t>
        </is>
      </c>
      <c r="E44"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76" t="inlineStr">
        <is>
          <t>Supports Emails showing Business line manager approval of DIV testing results (column K), samples 3301, 1903, 1937</t>
        </is>
      </c>
      <c r="G44" s="77" t="inlineStr">
        <is>
          <t>PASS</t>
        </is>
      </c>
    </row>
    <row r="45" ht="100" customHeight="1" s="50">
      <c r="A45" s="78" t="inlineStr">
        <is>
          <t>DMA04</t>
        </is>
      </c>
      <c r="B4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76" t="inlineStr">
        <is>
          <t>08/17/2026, Michelle Oropesa</t>
        </is>
      </c>
      <c r="D45" s="76" t="inlineStr">
        <is>
          <t>4052 Interface Monitor
1936 Swift Interface - BSI
1937 T24</t>
        </is>
      </c>
      <c r="E45"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76" t="inlineStr">
        <is>
          <t>Supports Emails showing Business line manager approval of DIV testing results (column K), samples 4052, 1936, 1937</t>
        </is>
      </c>
      <c r="G45" s="77" t="inlineStr">
        <is>
          <t>PASS</t>
        </is>
      </c>
    </row>
    <row r="46" s="50">
      <c r="A46" s="74" t="n"/>
      <c r="B46" s="74" t="n"/>
      <c r="C46" s="74" t="n"/>
      <c r="D46" s="74" t="n"/>
      <c r="E46" s="74" t="n"/>
      <c r="F46" s="74" t="n"/>
      <c r="G46" s="74" t="n"/>
      <c r="H46" s="74" t="n"/>
      <c r="I46" s="74" t="n"/>
      <c r="J46" s="74" t="n"/>
      <c r="K46" s="74" t="n"/>
      <c r="L46" s="74" t="n"/>
      <c r="M46" s="74" t="n"/>
      <c r="N46" s="74" t="n"/>
      <c r="O46" s="74" t="n"/>
      <c r="P46" s="74" t="n"/>
      <c r="Q46" s="74" t="n"/>
      <c r="R46" s="74" t="n"/>
      <c r="S46" s="74" t="n"/>
      <c r="T46" s="74" t="n"/>
      <c r="U46" s="74" t="n"/>
      <c r="V46" s="74" t="n"/>
      <c r="W46" s="74" t="n"/>
      <c r="X46" s="74" t="n"/>
      <c r="Y46" s="74" t="n"/>
      <c r="Z46" s="74" t="n"/>
      <c r="AA46" s="74" t="n"/>
    </row>
    <row r="47" ht="15.5" customHeight="1" s="50">
      <c r="A47" s="101" t="inlineStr">
        <is>
          <t>11. All evidence of Data Integrity DR test in BCIC (column L): review of evidence files and results</t>
        </is>
      </c>
      <c r="B47" s="97" t="n"/>
      <c r="C47" s="97" t="n"/>
      <c r="D47" s="97" t="n"/>
      <c r="E47" s="97" t="n"/>
      <c r="F47" s="97" t="n"/>
      <c r="G47" s="98" t="n"/>
    </row>
    <row r="48" ht="26" customHeight="1" s="50">
      <c r="A48" s="73" t="inlineStr">
        <is>
          <t>Ref</t>
        </is>
      </c>
      <c r="B48" s="73" t="inlineStr">
        <is>
          <t>Evidence file (repository location)</t>
        </is>
      </c>
      <c r="C48" s="73" t="inlineStr">
        <is>
          <t>Date / owner / operator</t>
        </is>
      </c>
      <c r="D48" s="73" t="inlineStr">
        <is>
          <t>Applications tested (source rows)</t>
        </is>
      </c>
      <c r="E48" s="73" t="inlineStr">
        <is>
          <t>Content reviewed</t>
        </is>
      </c>
      <c r="F48" s="73" t="inlineStr">
        <is>
          <t>Conclusion / samples supported</t>
        </is>
      </c>
      <c r="G48" s="73" t="inlineStr">
        <is>
          <t>Control Sample Assessment Result (Pass/Fail)</t>
        </is>
      </c>
      <c r="H48" s="67" t="n"/>
    </row>
    <row r="49" ht="174" customHeight="1" s="50">
      <c r="A49" s="78" t="inlineStr">
        <is>
          <t>E03</t>
        </is>
      </c>
      <c r="B4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76" t="inlineStr">
        <is>
          <t>BCiC: Data Integrity Validation Testing (62 records)</t>
        </is>
      </c>
      <c r="D4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76"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BCiC DIV export (tester, dates, manager, Y/N results, attestation)</t>
        </is>
      </c>
      <c r="F49" s="76" t="inlineStr">
        <is>
          <t>Supports All evidence of Data Integrity DR test in BCIC (column L), samples 1822, 1867, 1868, 3299, 4052, 3301, 1903, 1917, 1936, 1937</t>
        </is>
      </c>
      <c r="G49" s="77" t="inlineStr">
        <is>
          <t>PASS</t>
        </is>
      </c>
      <c r="H49" s="70" t="n"/>
      <c r="I49" s="70" t="n"/>
      <c r="J49" s="70" t="n"/>
      <c r="K49" s="69" t="n"/>
      <c r="L49" s="70" t="n"/>
      <c r="M49" s="70" t="n"/>
    </row>
    <row r="50" s="50">
      <c r="A50" s="74" t="n"/>
      <c r="B50" s="74" t="n"/>
      <c r="C50" s="74" t="n"/>
      <c r="D50" s="74" t="n"/>
      <c r="E50" s="74" t="n"/>
      <c r="F50" s="74" t="n"/>
      <c r="G50" s="74" t="n"/>
      <c r="H50" s="74" t="n"/>
      <c r="I50" s="74" t="n"/>
      <c r="J50" s="74" t="n"/>
      <c r="K50" s="74" t="n"/>
      <c r="L50" s="74" t="n"/>
      <c r="M50" s="74" t="n"/>
      <c r="N50" s="74" t="n"/>
      <c r="O50" s="74" t="n"/>
      <c r="P50" s="74" t="n"/>
      <c r="Q50" s="74" t="n"/>
      <c r="R50" s="74" t="n"/>
      <c r="S50" s="74" t="n"/>
      <c r="T50" s="74" t="n"/>
      <c r="U50" s="74" t="n"/>
      <c r="V50" s="74" t="n"/>
      <c r="W50" s="74" t="n"/>
      <c r="X50" s="74" t="n"/>
      <c r="Y50" s="74" t="n"/>
      <c r="Z50" s="74" t="n"/>
      <c r="AA50" s="74" t="n"/>
    </row>
    <row r="51" ht="15.5" customHeight="1" s="50">
      <c r="A51" s="101" t="inlineStr">
        <is>
          <t>12. Annual Testing Executed (column M): review of evidence files and results</t>
        </is>
      </c>
      <c r="B51" s="97" t="n"/>
      <c r="C51" s="97" t="n"/>
      <c r="D51" s="97" t="n"/>
      <c r="E51" s="97" t="n"/>
      <c r="F51" s="97" t="n"/>
      <c r="G51" s="98" t="n"/>
    </row>
    <row r="52" ht="26" customHeight="1" s="50">
      <c r="A52" s="73" t="inlineStr">
        <is>
          <t>Ref</t>
        </is>
      </c>
      <c r="B52" s="73" t="inlineStr">
        <is>
          <t>Evidence file (repository location)</t>
        </is>
      </c>
      <c r="C52" s="73" t="inlineStr">
        <is>
          <t>Date / owner / operator</t>
        </is>
      </c>
      <c r="D52" s="73" t="inlineStr">
        <is>
          <t>Applications tested (source rows)</t>
        </is>
      </c>
      <c r="E52" s="73" t="inlineStr">
        <is>
          <t>Content reviewed</t>
        </is>
      </c>
      <c r="F52" s="73" t="inlineStr">
        <is>
          <t>Conclusion / samples supported</t>
        </is>
      </c>
      <c r="G52" s="73" t="inlineStr">
        <is>
          <t>Control Sample Assessment Result (Pass/Fail)</t>
        </is>
      </c>
      <c r="H52" s="67" t="n"/>
    </row>
    <row r="53" ht="126" customHeight="1" s="50">
      <c r="A53" s="78" t="inlineStr">
        <is>
          <t>E01</t>
        </is>
      </c>
      <c r="B5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76" t="inlineStr">
        <is>
          <t>BCiC: Applications In Scope for DR Test BSI</t>
        </is>
      </c>
      <c r="D5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76"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76" t="inlineStr">
        <is>
          <t>Supports Annual Testing Executed (column M), samples 1822, 1867, 1868, 3299, 4052, 3301, 1903, 1917, 1936, 1937</t>
        </is>
      </c>
      <c r="G53" s="77" t="inlineStr">
        <is>
          <t>PASS</t>
        </is>
      </c>
      <c r="H53" s="70" t="n"/>
      <c r="I53" s="70" t="n"/>
      <c r="J53" s="70" t="n"/>
      <c r="K53" s="70" t="n"/>
      <c r="L53" s="70" t="n"/>
      <c r="M53" s="70" t="n"/>
      <c r="N53" s="69" t="n"/>
      <c r="O53" s="70" t="n"/>
    </row>
    <row r="54" s="50">
      <c r="A54" s="74" t="n"/>
      <c r="B54" s="74" t="n"/>
      <c r="C54" s="74" t="n"/>
      <c r="D54" s="74" t="n"/>
      <c r="E54" s="74" t="n"/>
      <c r="F54" s="74" t="n"/>
      <c r="G54" s="74" t="n"/>
      <c r="H54" s="74" t="n"/>
      <c r="I54" s="74" t="n"/>
      <c r="J54" s="74" t="n"/>
      <c r="K54" s="74" t="n"/>
      <c r="L54" s="74" t="n"/>
      <c r="M54" s="74" t="n"/>
      <c r="N54" s="74" t="n"/>
      <c r="O54" s="74" t="n"/>
      <c r="P54" s="74" t="n"/>
      <c r="Q54" s="74" t="n"/>
      <c r="R54" s="74" t="n"/>
      <c r="S54" s="74" t="n"/>
      <c r="T54" s="74" t="n"/>
      <c r="U54" s="74" t="n"/>
      <c r="V54" s="74" t="n"/>
      <c r="W54" s="74" t="n"/>
      <c r="X54" s="74" t="n"/>
      <c r="Y54" s="74" t="n"/>
      <c r="Z54" s="74" t="n"/>
      <c r="AA54" s="74" t="n"/>
    </row>
    <row r="55" ht="15.5" customHeight="1" s="50">
      <c r="A55" s="101" t="inlineStr">
        <is>
          <t>13. Data Integrity Validation Performed by IT DR Team (column N): review of evidence files and results</t>
        </is>
      </c>
      <c r="B55" s="97" t="n"/>
      <c r="C55" s="97" t="n"/>
      <c r="D55" s="97" t="n"/>
      <c r="E55" s="97" t="n"/>
      <c r="F55" s="97" t="n"/>
      <c r="G55" s="98" t="n"/>
    </row>
    <row r="56" ht="26" customHeight="1" s="50">
      <c r="A56" s="73" t="inlineStr">
        <is>
          <t>Ref</t>
        </is>
      </c>
      <c r="B56" s="73" t="inlineStr">
        <is>
          <t>Evidence file (repository location)</t>
        </is>
      </c>
      <c r="C56" s="73" t="inlineStr">
        <is>
          <t>Date / owner / operator</t>
        </is>
      </c>
      <c r="D56" s="73" t="inlineStr">
        <is>
          <t>Applications tested (source rows)</t>
        </is>
      </c>
      <c r="E56" s="73" t="inlineStr">
        <is>
          <t>Content reviewed</t>
        </is>
      </c>
      <c r="F56" s="73" t="inlineStr">
        <is>
          <t>Conclusion / samples supported</t>
        </is>
      </c>
      <c r="G56" s="73" t="inlineStr">
        <is>
          <t>Control Sample Assessment Result (Pass/Fail)</t>
        </is>
      </c>
      <c r="H56" s="67" t="n"/>
    </row>
    <row r="57" ht="126" customHeight="1" s="50">
      <c r="A57" s="78" t="inlineStr">
        <is>
          <t>E05</t>
        </is>
      </c>
      <c r="B5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76" t="inlineStr">
        <is>
          <t>09/15/2025, Elizabeth Noda</t>
        </is>
      </c>
      <c r="D57" s="76" t="inlineStr">
        <is>
          <t>1822 ACH Express
1867 FedExport - BSI
1868 FedImport - BSI
3299 Imaging101
4052 Interface Monitor
3301 MQ Payment Monitor
1903 OFAC - BSI
1917 ReconXpert
1936 Swift Interface - BSI
1937 T24</t>
        </is>
      </c>
      <c r="E57"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76" t="inlineStr">
        <is>
          <t>Supports Data Integrity Validation Performed by IT DR Team (column N), samples 1822, 1867, 1868, 3299, 4052, 3301, 1903, 1917, 1936, 1937</t>
        </is>
      </c>
      <c r="G57" s="77" t="inlineStr">
        <is>
          <t>PASS</t>
        </is>
      </c>
      <c r="H57" s="70" t="n"/>
      <c r="I57" s="70" t="n"/>
      <c r="J57" s="70" t="n"/>
      <c r="K57" s="70" t="n"/>
      <c r="L57" s="70" t="n"/>
      <c r="M57" s="70" t="n"/>
      <c r="N57" s="70" t="n"/>
      <c r="O57" s="69" t="n"/>
      <c r="P57" s="70" t="n"/>
      <c r="Q57" s="70" t="n"/>
      <c r="R57" s="70" t="n"/>
    </row>
    <row r="58" s="50">
      <c r="A58" s="74" t="n"/>
      <c r="B58" s="74" t="n"/>
      <c r="C58" s="74" t="n"/>
      <c r="D58" s="74" t="n"/>
      <c r="E58" s="74" t="n"/>
      <c r="F58" s="74" t="n"/>
      <c r="G58" s="74" t="n"/>
      <c r="H58" s="74" t="n"/>
      <c r="I58" s="74" t="n"/>
      <c r="J58" s="74" t="n"/>
      <c r="K58" s="74" t="n"/>
      <c r="L58" s="74" t="n"/>
      <c r="M58" s="74" t="n"/>
      <c r="N58" s="74" t="n"/>
      <c r="O58" s="74" t="n"/>
      <c r="P58" s="74" t="n"/>
      <c r="Q58" s="74" t="n"/>
      <c r="R58" s="74" t="n"/>
      <c r="S58" s="74" t="n"/>
      <c r="T58" s="74" t="n"/>
      <c r="U58" s="74" t="n"/>
      <c r="V58" s="74" t="n"/>
      <c r="W58" s="74" t="n"/>
      <c r="X58" s="74" t="n"/>
      <c r="Y58" s="74" t="n"/>
      <c r="Z58" s="74" t="n"/>
      <c r="AA58" s="74" t="n"/>
    </row>
    <row r="59" ht="15.5" customHeight="1" s="50">
      <c r="A59" s="101" t="inlineStr">
        <is>
          <t>14. Business Line Approval of Results (column O): review of evidence files and results</t>
        </is>
      </c>
      <c r="B59" s="97" t="n"/>
      <c r="C59" s="97" t="n"/>
      <c r="D59" s="97" t="n"/>
      <c r="E59" s="97" t="n"/>
      <c r="F59" s="97" t="n"/>
      <c r="G59" s="98" t="n"/>
    </row>
    <row r="60" ht="26" customHeight="1" s="50">
      <c r="A60" s="73" t="inlineStr">
        <is>
          <t>Ref</t>
        </is>
      </c>
      <c r="B60" s="73" t="inlineStr">
        <is>
          <t>Evidence file (repository location)</t>
        </is>
      </c>
      <c r="C60" s="73" t="inlineStr">
        <is>
          <t>Date / owner / operator</t>
        </is>
      </c>
      <c r="D60" s="73" t="inlineStr">
        <is>
          <t>Applications tested (source rows)</t>
        </is>
      </c>
      <c r="E60" s="73" t="inlineStr">
        <is>
          <t>Content reviewed</t>
        </is>
      </c>
      <c r="F60" s="73" t="inlineStr">
        <is>
          <t>Conclusion / samples supported</t>
        </is>
      </c>
      <c r="G60" s="73" t="inlineStr">
        <is>
          <t>Control Sample Assessment Result (Pass/Fail)</t>
        </is>
      </c>
      <c r="H60" s="67" t="n"/>
    </row>
    <row r="61" ht="78" customHeight="1" s="50">
      <c r="A61" s="78" t="inlineStr">
        <is>
          <t>BLA06</t>
        </is>
      </c>
      <c r="B6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76" t="inlineStr">
        <is>
          <t>12/31/2025 &amp; 01/26/2026, Sadis Alvarenga</t>
        </is>
      </c>
      <c r="D61" s="76" t="inlineStr">
        <is>
          <t>1917 ReconXpert
1937 T24</t>
        </is>
      </c>
      <c r="E61"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76" t="inlineStr">
        <is>
          <t>Supports Business Line Approval of Results (column O), samples 1917, 1937</t>
        </is>
      </c>
      <c r="G61" s="77" t="inlineStr">
        <is>
          <t>PASS</t>
        </is>
      </c>
      <c r="H61" s="70" t="n"/>
      <c r="I61" s="70" t="n"/>
      <c r="J61" s="70" t="n"/>
      <c r="K61" s="70" t="n"/>
      <c r="L61" s="70" t="n"/>
      <c r="M61" s="69" t="n"/>
      <c r="N61" s="69" t="n"/>
      <c r="O61" s="69" t="n"/>
      <c r="P61" s="69" t="n"/>
      <c r="Q61" s="69" t="n"/>
      <c r="R61" s="70" t="n"/>
      <c r="S61" s="70" t="n"/>
      <c r="T61" s="70" t="n"/>
      <c r="U61" s="70" t="n"/>
      <c r="V61" s="86" t="n"/>
      <c r="W61" s="87" t="n"/>
      <c r="X61" s="87" t="n"/>
      <c r="Y61" s="87" t="n"/>
      <c r="Z61" s="87" t="n"/>
      <c r="AA61" s="87" t="n"/>
    </row>
    <row r="62" ht="78" customHeight="1" s="50">
      <c r="A62" s="78" t="inlineStr">
        <is>
          <t>DMA01</t>
        </is>
      </c>
      <c r="B6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76" t="inlineStr">
        <is>
          <t>08/18/2026, Claudia Romero</t>
        </is>
      </c>
      <c r="D62" s="76" t="inlineStr">
        <is>
          <t>1822 ACH Express
1867 FedExport - BSI
1868 FedImport - BSI
3299 Imaging101
1937 T24</t>
        </is>
      </c>
      <c r="E62"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76" t="inlineStr">
        <is>
          <t>Supports Business Line Approval of Results (column O), samples 1822, 1867, 1868, 3299, 1937</t>
        </is>
      </c>
      <c r="G62" s="77" t="inlineStr">
        <is>
          <t>PASS</t>
        </is>
      </c>
    </row>
    <row r="63" ht="136" customHeight="1" s="50">
      <c r="A63" s="78" t="inlineStr">
        <is>
          <t>DMA02</t>
        </is>
      </c>
      <c r="B6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76" t="inlineStr">
        <is>
          <t>08/19/2026, David Marquez</t>
        </is>
      </c>
      <c r="D63" s="76" t="inlineStr">
        <is>
          <t>3299 Imaging101
1903 OFAC - BSI
1936 Swift Interface - BSI
1937 T24</t>
        </is>
      </c>
      <c r="E6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
Checked for Business Line Approval of Results:
Application / record agreed to the evidence.</t>
        </is>
      </c>
      <c r="F63" s="76" t="inlineStr">
        <is>
          <t>Supports Business Line Approval of Results (column O), samples 3299, 1903, 1936, 1937</t>
        </is>
      </c>
      <c r="G63" s="77" t="inlineStr">
        <is>
          <t>PASS</t>
        </is>
      </c>
    </row>
    <row r="64" ht="78" customHeight="1" s="50">
      <c r="A64" s="78" t="inlineStr">
        <is>
          <t>DMA03</t>
        </is>
      </c>
      <c r="B6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76" t="inlineStr">
        <is>
          <t>08/18/2026, Frank Puentes</t>
        </is>
      </c>
      <c r="D64" s="76" t="inlineStr">
        <is>
          <t>3301 MQ Payment Monitor
1903 OFAC - BSI
1937 T24</t>
        </is>
      </c>
      <c r="E64" s="76" t="inlineStr">
        <is>
          <t>Frank Puentes returns the signed attestation: attachment: 4069_001.pdf (scan, signed Executive Director, Payments &amp; Cash Management, 8/18/2026).
Checked for Business Line Approval of Results:
Application / record agreed to the evidence.</t>
        </is>
      </c>
      <c r="F64" s="76" t="inlineStr">
        <is>
          <t>Supports Business Line Approval of Results (column O), samples 3301, 1903, 1937</t>
        </is>
      </c>
      <c r="G64" s="77" t="inlineStr">
        <is>
          <t>PASS</t>
        </is>
      </c>
    </row>
    <row r="65" ht="88" customHeight="1" s="50">
      <c r="A65" s="78" t="inlineStr">
        <is>
          <t>DMA04</t>
        </is>
      </c>
      <c r="B6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76" t="inlineStr">
        <is>
          <t>08/17/2026, Michelle Oropesa</t>
        </is>
      </c>
      <c r="D65" s="76" t="inlineStr">
        <is>
          <t>4052 Interface Monitor
1936 Swift Interface - BSI
1937 T24</t>
        </is>
      </c>
      <c r="E65"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76" t="inlineStr">
        <is>
          <t>Supports Business Line Approval of Results (column O), samples 4052, 1936, 1937</t>
        </is>
      </c>
      <c r="G65" s="77" t="inlineStr">
        <is>
          <t>PASS</t>
        </is>
      </c>
    </row>
    <row r="66" s="50">
      <c r="A66" s="74" t="n"/>
      <c r="B66" s="74" t="n"/>
      <c r="C66" s="74" t="n"/>
      <c r="D66" s="74" t="n"/>
      <c r="E66" s="74" t="n"/>
      <c r="F66" s="74" t="n"/>
      <c r="G66" s="74" t="n"/>
      <c r="H66" s="74" t="n"/>
      <c r="I66" s="74" t="n"/>
      <c r="J66" s="74" t="n"/>
      <c r="K66" s="74" t="n"/>
      <c r="L66" s="74" t="n"/>
      <c r="M66" s="74" t="n"/>
      <c r="N66" s="74" t="n"/>
      <c r="O66" s="74" t="n"/>
      <c r="P66" s="74" t="n"/>
      <c r="Q66" s="74" t="n"/>
      <c r="R66" s="74" t="n"/>
      <c r="S66" s="74" t="n"/>
      <c r="T66" s="74" t="n"/>
      <c r="U66" s="74" t="n"/>
      <c r="V66" s="74" t="n"/>
      <c r="W66" s="74" t="n"/>
      <c r="X66" s="74" t="n"/>
      <c r="Y66" s="74" t="n"/>
      <c r="Z66" s="74" t="n"/>
      <c r="AA66" s="74" t="n"/>
    </row>
    <row r="67" ht="41" customHeight="1" s="50">
      <c r="A67" s="101" t="inlineStr">
        <is>
          <t>15. Results Documented in BCMS (column P): review of evidence files and results</t>
        </is>
      </c>
      <c r="B67" s="97" t="n"/>
      <c r="C67" s="97" t="n"/>
      <c r="D67" s="97" t="n"/>
      <c r="E67" s="97" t="n"/>
      <c r="F67" s="97" t="n"/>
      <c r="G67" s="98" t="n"/>
    </row>
    <row r="68" ht="26" customHeight="1" s="50">
      <c r="A68" s="73" t="inlineStr">
        <is>
          <t>Ref</t>
        </is>
      </c>
      <c r="B68" s="73" t="inlineStr">
        <is>
          <t>Evidence file (repository location)</t>
        </is>
      </c>
      <c r="C68" s="73" t="inlineStr">
        <is>
          <t>Date / owner / operator</t>
        </is>
      </c>
      <c r="D68" s="73" t="inlineStr">
        <is>
          <t>Applications tested (source rows)</t>
        </is>
      </c>
      <c r="E68" s="73" t="inlineStr">
        <is>
          <t>Content reviewed</t>
        </is>
      </c>
      <c r="F68" s="73" t="inlineStr">
        <is>
          <t>Conclusion / samples supported</t>
        </is>
      </c>
      <c r="G68" s="73" t="inlineStr">
        <is>
          <t>Control Sample Assessment Result (Pass/Fail)</t>
        </is>
      </c>
      <c r="H68" s="67" t="n"/>
    </row>
    <row r="69" ht="174" customHeight="1" s="50">
      <c r="A69" s="78" t="inlineStr">
        <is>
          <t>E03</t>
        </is>
      </c>
      <c r="B6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76" t="inlineStr">
        <is>
          <t>BCiC: Data Integrity Validation Testing (62 records)</t>
        </is>
      </c>
      <c r="D6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76" t="inlineStr">
        <is>
          <t>BCiC DIV export incl. Business Tester, Business Data Validation Date, Department Manager, Department Manager Approval Date, Y/N Format/Headers/Content, Attestation Date / Provided By. Row numbers quoted are Excel rows.
Checked for Results Documented in BCMS:
DIV results, business tester, validation date, manager approval and attestation fields recorded in BCMS (BC in the Cloud) for each application</t>
        </is>
      </c>
      <c r="F69" s="76" t="inlineStr">
        <is>
          <t>Supports Results Documented in BCMS (column P), samples 1822, 1867, 1868, 3299, 4052, 3301, 1903, 1917, 1936, 1937</t>
        </is>
      </c>
      <c r="G69" s="77" t="inlineStr">
        <is>
          <t>PASS</t>
        </is>
      </c>
      <c r="H69" s="70" t="n"/>
      <c r="I69" s="70" t="n"/>
      <c r="J69" s="70" t="n"/>
      <c r="K69" s="69" t="n"/>
      <c r="L69" s="70" t="n"/>
      <c r="M69" s="70" t="n"/>
    </row>
    <row r="70" s="50">
      <c r="A70" s="74" t="n"/>
      <c r="B70" s="74" t="n"/>
      <c r="C70" s="74" t="n"/>
      <c r="D70" s="74" t="n"/>
      <c r="E70" s="74" t="n"/>
      <c r="F70" s="74" t="n"/>
      <c r="G70" s="74" t="n"/>
    </row>
    <row r="71" ht="15.5" customHeight="1" s="50">
      <c r="A71" s="71" t="inlineStr">
        <is>
          <t>Business Line Approval Results: Email (folder 02), Review of results documents and approval email</t>
        </is>
      </c>
      <c r="B71" s="97" t="n"/>
      <c r="C71" s="97" t="n"/>
      <c r="D71" s="97" t="n"/>
      <c r="E71" s="97" t="n"/>
      <c r="F71" s="97" t="n"/>
      <c r="G71" s="98" t="n"/>
    </row>
    <row r="72" ht="26" customHeight="1" s="50">
      <c r="A72" s="73" t="inlineStr">
        <is>
          <t>Ref</t>
        </is>
      </c>
      <c r="B72" s="73" t="inlineStr">
        <is>
          <t>Evidence file (repository location)</t>
        </is>
      </c>
      <c r="C72" s="73" t="inlineStr">
        <is>
          <t>Business line / date / operator</t>
        </is>
      </c>
      <c r="D72" s="73" t="inlineStr">
        <is>
          <t>DIV applications in scope (per document)</t>
        </is>
      </c>
      <c r="E72" s="73" t="inlineStr">
        <is>
          <t>Content reviewed</t>
        </is>
      </c>
      <c r="F72" s="73" t="inlineStr">
        <is>
          <t>Conclusion / samples supported</t>
        </is>
      </c>
      <c r="G72" s="73" t="inlineStr">
        <is>
          <t>Control Sample Assessment Result (Pass/Fail)</t>
        </is>
      </c>
    </row>
    <row r="73" ht="64" customHeight="1" s="50">
      <c r="A73" s="76" t="inlineStr">
        <is>
          <t>BLA01</t>
        </is>
      </c>
      <c r="B7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76" t="inlineStr">
        <is>
          <t>11/15/2025, Client Back Office (operator Raimy Ayala)</t>
        </is>
      </c>
      <c r="D73" s="76" t="inlineStr">
        <is>
          <t>FedImport, FedExport, Imaging101, T24 (ACH Express import step evidenced p.5)</t>
        </is>
      </c>
      <c r="E73" s="76" t="inlineStr">
        <is>
          <t>DR test script with Data Integrity Validation section. Application in-scope: FedImport, FedExport, Imaging101, T24. Format / Headers / Content = Y, "No data discrepancy found". Steps include ACH Express import and Imaging101 validation screenshots (14 pages).</t>
        </is>
      </c>
      <c r="F73" s="76" t="inlineStr">
        <is>
          <t>Business line DIV results document supports Business Data Validation, DIV procedures and Business Line Approval of Results, samples 1822, 1867, 1868, 3299, 1937</t>
        </is>
      </c>
      <c r="G73" s="77" t="inlineStr">
        <is>
          <t>PASS</t>
        </is>
      </c>
    </row>
    <row r="74" ht="64" customHeight="1" s="50">
      <c r="A74" s="76" t="inlineStr">
        <is>
          <t>BLA02</t>
        </is>
      </c>
      <c r="B7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76" t="inlineStr">
        <is>
          <t>11/15/2025, BSA/AML/OFAC Compliance (operator David Marquez)</t>
        </is>
      </c>
      <c r="D74" s="76" t="inlineStr">
        <is>
          <t>T24, Imaging101, OFAC</t>
        </is>
      </c>
      <c r="E74" s="76" t="inlineStr">
        <is>
          <t>OFAC Verifier test script. Application in-scope: T24, Imaging101, OFAC. DIV procedure instructions listed; production-day (11/14/2025) versus test-day (11/15/2025) screenshots for T24, Imaging101/ModeloIC and OFAC Report 64. NOTE: DIV Yes/No answer boxes on p.1 are blank.</t>
        </is>
      </c>
      <c r="F74" s="76" t="inlineStr">
        <is>
          <t>Business line DIV results document supports Business Data Validation, DIV procedures and Business Line Approval of Results, samples 3299, 1903, 1937</t>
        </is>
      </c>
      <c r="G74" s="77" t="inlineStr">
        <is>
          <t>PASS</t>
        </is>
      </c>
    </row>
    <row r="75" ht="52" customHeight="1" s="50">
      <c r="A75" s="76" t="inlineStr">
        <is>
          <t>BLA03</t>
        </is>
      </c>
      <c r="B7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76" t="inlineStr">
        <is>
          <t>11/15/2025, Payments &amp; Position Management (operators Frank Puentes / Gustavo Bucaro)</t>
        </is>
      </c>
      <c r="D75" s="76" t="inlineStr">
        <is>
          <t>T24, MQ Payment Monitor, OFAC - BSI, Fedlink - BSI, Swift Interface - BSI</t>
        </is>
      </c>
      <c r="E75" s="76" t="inlineStr">
        <is>
          <t>Wire Transfer / Cash Mgt / Financial Messaging script. DIV application in-scope: T24, MQ Payment Monitor, OFAC - BSI, Fedlink - BSI, Swift Interface - BSI. Format / Headers / Content = yes; data from 11/14/2025 Fed &amp; SWIFT reconciled.</t>
        </is>
      </c>
      <c r="F75" s="76" t="inlineStr">
        <is>
          <t>Business line DIV results document supports Business Data Validation, DIV procedures and Business Line Approval of Results, samples 3301, 1903, 1936, 1937</t>
        </is>
      </c>
      <c r="G75" s="77" t="inlineStr">
        <is>
          <t>PASS</t>
        </is>
      </c>
    </row>
    <row r="76" ht="64" customHeight="1" s="50">
      <c r="A76" s="76" t="inlineStr">
        <is>
          <t>BLA04</t>
        </is>
      </c>
      <c r="B7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76" t="inlineStr">
        <is>
          <t>11/15/2025, Investment Operations (operator Michelle Oropesa)</t>
        </is>
      </c>
      <c r="D76" s="76" t="inlineStr">
        <is>
          <t>T24 &amp; Swift Interface - BSI (Swift Interface Monitor accessed)</t>
        </is>
      </c>
      <c r="E76"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76" t="inlineStr">
        <is>
          <t>Business line DIV results document supports Business Data Validation, DIV procedures and Business Line Approval of Results, samples 4052, 1936, 1937</t>
        </is>
      </c>
      <c r="G76" s="77" t="inlineStr">
        <is>
          <t>PASS</t>
        </is>
      </c>
    </row>
    <row r="77" ht="46" customHeight="1" s="50">
      <c r="A77" s="76" t="inlineStr">
        <is>
          <t>BLA05</t>
        </is>
      </c>
      <c r="B7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76" t="inlineStr">
        <is>
          <t>11/15/2025, Finance &amp; Accounting Reporting (operator Dunia Gonzalez Collado)</t>
        </is>
      </c>
      <c r="D77" s="76" t="inlineStr">
        <is>
          <t>T24 &amp; ReconXpert</t>
        </is>
      </c>
      <c r="E77" s="76" t="inlineStr">
        <is>
          <t>General ledger review script. DIV application in-scope: T24 &amp; ReconXpert. Reconciliations passed; Format / Headers / Content = Yes, "No discrepancies found on the report".</t>
        </is>
      </c>
      <c r="F77" s="76" t="inlineStr">
        <is>
          <t>Business line DIV results document supports Business Data Validation, DIV procedures and Business Line Approval of Results, samples 1917, 1937</t>
        </is>
      </c>
      <c r="G77" s="77" t="inlineStr">
        <is>
          <t>PASS</t>
        </is>
      </c>
    </row>
    <row r="78" ht="46" customHeight="1" s="50">
      <c r="A78" s="76" t="inlineStr">
        <is>
          <t>BLA06</t>
        </is>
      </c>
      <c r="B7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76" t="inlineStr">
        <is>
          <t>12/31/2025 &amp; 01/26/2026, Sadis Alvarenga</t>
        </is>
      </c>
      <c r="D78" s="76" t="inlineStr">
        <is>
          <t>Financial Analysis &amp; Control (T24, ReconXpert)</t>
        </is>
      </c>
      <c r="E78" s="76" t="inlineStr">
        <is>
          <t>Sadis Alvarenga (Financial Analysis &amp; Control manager) replies "Approved." on 12/31/2025 and again on 01/26/2026 to Elizabeth Noda's request to approve the submitted test script.</t>
        </is>
      </c>
      <c r="F78" s="76" t="inlineStr">
        <is>
          <t>Business line manager approval (Sadis Alvarenga), in period (01/26/2026), samples 1917, 1937</t>
        </is>
      </c>
      <c r="G78" s="77" t="inlineStr">
        <is>
          <t>PASS</t>
        </is>
      </c>
    </row>
    <row r="79" s="50">
      <c r="A79" s="74" t="n"/>
      <c r="B79" s="74" t="n"/>
      <c r="C79" s="74" t="n"/>
      <c r="D79" s="74" t="n"/>
      <c r="E79" s="74" t="n"/>
      <c r="F79" s="74" t="n"/>
      <c r="G79" s="74" t="n"/>
    </row>
    <row r="80" ht="15.5" customHeight="1" s="50">
      <c r="A80" s="71" t="inlineStr">
        <is>
          <t>DIV Manager Attestation Email Approvals (folder 03), application-specific business line manager approvals</t>
        </is>
      </c>
      <c r="B80" s="97" t="n"/>
      <c r="C80" s="97" t="n"/>
      <c r="D80" s="97" t="n"/>
      <c r="E80" s="97" t="n"/>
      <c r="F80" s="97" t="n"/>
      <c r="G80" s="98" t="n"/>
    </row>
    <row r="81" ht="26" customHeight="1" s="50">
      <c r="A81" s="73" t="inlineStr">
        <is>
          <t>Ref</t>
        </is>
      </c>
      <c r="B81" s="73" t="inlineStr">
        <is>
          <t>Evidence file (repository location)</t>
        </is>
      </c>
      <c r="C81" s="73" t="inlineStr">
        <is>
          <t>Approver / date</t>
        </is>
      </c>
      <c r="D81" s="73" t="inlineStr">
        <is>
          <t>BCiC Department Manager and tested applications (E03 rows)</t>
        </is>
      </c>
      <c r="E81" s="73" t="inlineStr">
        <is>
          <t>Content reviewed</t>
        </is>
      </c>
      <c r="F81" s="73" t="inlineStr">
        <is>
          <t>Conclusion / samples supported</t>
        </is>
      </c>
      <c r="G81" s="73" t="inlineStr">
        <is>
          <t>Control Sample Assessment Result (Pass/Fail)</t>
        </is>
      </c>
    </row>
    <row r="82" ht="46" customHeight="1" s="50">
      <c r="A82" s="76" t="inlineStr">
        <is>
          <t>DMA01</t>
        </is>
      </c>
      <c r="B8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76" t="inlineStr">
        <is>
          <t>08/18/2026, Claudia Romero</t>
        </is>
      </c>
      <c r="D82" s="76" t="inlineStr">
        <is>
          <t>FedExport - BSI (row 9); FedImport - BSI (row 10); Imaging101 (rows 11, 13); T24 (rows 12, 14, 48); ACH Express (row 47)</t>
        </is>
      </c>
      <c r="E82" s="76" t="inlineStr">
        <is>
          <t>Claudia Romero (Client Back Office Manager VP) returns the signed Management Attestation, attachment: Data_Integrity_Attestation_Santander-BCiC (002).pdf (signed Claudia Romero).</t>
        </is>
      </c>
      <c r="F82" s="76" t="inlineStr">
        <is>
          <t>Approval evidence for 8 DIV records: in-period approval evidence, samples 1822, 1867, 1868, 3299, 1937</t>
        </is>
      </c>
      <c r="G82" s="77" t="inlineStr">
        <is>
          <t>PASS</t>
        </is>
      </c>
    </row>
    <row r="83" ht="100" customHeight="1" s="50">
      <c r="A83" s="76" t="inlineStr">
        <is>
          <t>DMA02</t>
        </is>
      </c>
      <c r="B8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76" t="inlineStr">
        <is>
          <t>08/19/2026, David Marquez</t>
        </is>
      </c>
      <c r="D83" s="76" t="inlineStr">
        <is>
          <t>Imaging101 (row 5); OFAC - BSI (row 6); Swift Interface - BSI (row 7); T24 (row 8)</t>
        </is>
      </c>
      <c r="E8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t>
        </is>
      </c>
      <c r="F83" s="76" t="inlineStr">
        <is>
          <t>Approval evidence for 4 DIV records: approval evidence dated after 06/01/2026 (BCiC approval 11/15/2025), samples 1822, 1867, 1868, 3299, 4052, 3301, 1903, 1917, 1936, 1937</t>
        </is>
      </c>
      <c r="G83" s="77" t="inlineStr">
        <is>
          <t>PASS</t>
        </is>
      </c>
    </row>
    <row r="84" ht="46" customHeight="1" s="50">
      <c r="A84" s="76" t="inlineStr">
        <is>
          <t>DMA03</t>
        </is>
      </c>
      <c r="B8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76" t="inlineStr">
        <is>
          <t>08/18/2026, Frank Puentes</t>
        </is>
      </c>
      <c r="D84" s="76" t="inlineStr">
        <is>
          <t>T24 (rows 23, 27, 31, 33); MQ Payment Monitor (rows 25, 29); OFAC - BSI (rows 26, 30, 34)</t>
        </is>
      </c>
      <c r="E84" s="76" t="inlineStr">
        <is>
          <t>Frank Puentes returns the signed attestation: attachment: 4069_001.pdf (scan, signed Executive Director, Payments &amp; Cash Management, 8/18/2026).</t>
        </is>
      </c>
      <c r="F84" s="76" t="inlineStr">
        <is>
          <t>Approval evidence for 9 DIV records: approval evidence dated after 06/01/2026 (BCiC approval 12/18/2025), samples 3301, 1903, 1937</t>
        </is>
      </c>
      <c r="G84" s="77" t="inlineStr">
        <is>
          <t>PASS</t>
        </is>
      </c>
    </row>
    <row r="85" ht="52" customHeight="1" s="50">
      <c r="A85" s="76" t="inlineStr">
        <is>
          <t>DMA04</t>
        </is>
      </c>
      <c r="B8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76" t="inlineStr">
        <is>
          <t>08/17/2026, Michelle Oropesa</t>
        </is>
      </c>
      <c r="D85" s="76" t="inlineStr">
        <is>
          <t>T24 (rows 19, 20, 21); Swift Interface - BSI (row 60); Interface Monitor (row 61)</t>
        </is>
      </c>
      <c r="E85" s="76" t="inlineStr">
        <is>
          <t>Michelle Oropesa (Investment Operations Director) returns the signed attestation, attachment: Data_Integrity_Attestation_Santander-BCiC.pdf (signed Investment Operations Director, VP, 8/17/2026).</t>
        </is>
      </c>
      <c r="F85" s="76" t="inlineStr">
        <is>
          <t>Approval evidence for 5 DIV records: approval evidence dated after 06/01/2026 (BCiC approval 08/17/2026), samples 4052, 1936, 1937</t>
        </is>
      </c>
      <c r="G85" s="77" t="inlineStr">
        <is>
          <t>PASS</t>
        </is>
      </c>
    </row>
    <row r="86" ht="52" customHeight="1" s="50">
      <c r="A86" s="76" t="inlineStr">
        <is>
          <t>DMA05</t>
        </is>
      </c>
      <c r="B86"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76" t="inlineStr">
        <is>
          <t>08/19/2026, Maria Teresa (Mayte) Del Cerro</t>
        </is>
      </c>
      <c r="D86" s="76" t="inlineStr">
        <is>
          <t>T24 (rows 18, 54, 59); Imaging101 (rows 53, 57); OFAC - BSI (row 58)</t>
        </is>
      </c>
      <c r="E86" s="76" t="inlineStr">
        <is>
          <t>Senior Director of Operations returns the signed attestation, attachments: Data_Integrity_Attestation_Santander-BCiC.pdf (signed Maria Teresa Del Cerro Hontanilla, Director of Operations, 08/19/2026) and the BCiC export (same file as E16b).</t>
        </is>
      </c>
      <c r="F86" s="76" t="inlineStr">
        <is>
          <t>Approval evidence for 6 DIV records: approval evidence dated after 06/01/2026 (BCiC approval 08/19/2026), samples 3299, 1903, 1937</t>
        </is>
      </c>
      <c r="G86" s="77" t="inlineStr">
        <is>
          <t>PASS</t>
        </is>
      </c>
    </row>
    <row r="87" ht="52" customHeight="1" s="50">
      <c r="A87" s="76" t="inlineStr">
        <is>
          <t>DMA06</t>
        </is>
      </c>
      <c r="B87"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76" t="inlineStr">
        <is>
          <t>08/18/2026, Ricardo Garcia-Marques</t>
        </is>
      </c>
      <c r="D87" s="76" t="inlineStr">
        <is>
          <t>T24 (rows 3, 35, 36, 37, 38, 39, 40, 63)</t>
        </is>
      </c>
      <c r="E87" s="76" t="inlineStr">
        <is>
          <t>Attestation and approval from Trading &amp; Capital Markets (covers BCiC records approved by Ricardo Garcia), attachment: Data_Integrity_Attestation_Santander-BCiC_signed.pdf (e-signed MD, Head of Trading &amp; Capital Markets, 08/18/2026 11:45 AM EDT).</t>
        </is>
      </c>
      <c r="F87" s="76" t="inlineStr">
        <is>
          <t>Approval evidence for 8 DIV records: approval evidence dated after 06/01/2026 (BCiC approval 08/18/2026), samples 1937</t>
        </is>
      </c>
      <c r="G87" s="77" t="inlineStr">
        <is>
          <t>PASS</t>
        </is>
      </c>
    </row>
    <row r="88" ht="46" customHeight="1" s="50">
      <c r="A88" s="76" t="inlineStr">
        <is>
          <t>DMA07</t>
        </is>
      </c>
      <c r="B88"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76" t="inlineStr">
        <is>
          <t>08/18/2026, Martha Sullivan</t>
        </is>
      </c>
      <c r="D88" s="76" t="inlineStr">
        <is>
          <t>T24 (rows 41, 42, 43, 44, 45, 46)</t>
        </is>
      </c>
      <c r="E88" s="76" t="inlineStr">
        <is>
          <t>Martha Sullivan returns the signed attestation, attachment: Data_Integrity_Attestation_Santander-BCiC.pdf (signed Balance Sheet Manager, Treasury).</t>
        </is>
      </c>
      <c r="F88" s="76" t="inlineStr">
        <is>
          <t>Approval evidence for 6 DIV records: approval evidence dated after 06/01/2026 (BCiC approval 08/18/2026), samples 1937</t>
        </is>
      </c>
      <c r="G88" s="77" t="inlineStr">
        <is>
          <t>PASS</t>
        </is>
      </c>
    </row>
    <row r="89" ht="46" customHeight="1" s="50">
      <c r="A89" s="76" t="inlineStr">
        <is>
          <t>DMA08</t>
        </is>
      </c>
      <c r="B89"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76" t="inlineStr">
        <is>
          <t>08/18/2026, Ivan Caisapanta</t>
        </is>
      </c>
      <c r="D89" s="76" t="inlineStr">
        <is>
          <t>T24 (rows 55, 56)</t>
        </is>
      </c>
      <c r="E89" s="76" t="inlineStr">
        <is>
          <t>"Hi Elizabeth, You have my approval", Financial Risk (BCiC Department Manager recorded as Xavier Caisapanta).</t>
        </is>
      </c>
      <c r="F89" s="76" t="inlineStr">
        <is>
          <t>Approval evidence for 2 DIV records: approval evidence dated after 06/01/2026 (BCiC approval 08/18/2026), samples 1937</t>
        </is>
      </c>
      <c r="G89" s="77" t="inlineStr">
        <is>
          <t>PASS</t>
        </is>
      </c>
    </row>
    <row r="90" ht="46" customHeight="1" s="50">
      <c r="A90" s="76" t="inlineStr">
        <is>
          <t>DMA09</t>
        </is>
      </c>
      <c r="B90"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76" t="inlineStr">
        <is>
          <t>08/18/2026, Clara G. De Castro</t>
        </is>
      </c>
      <c r="D90" s="76" t="inlineStr">
        <is>
          <t>T24 (row 62)</t>
        </is>
      </c>
      <c r="E90" s="76" t="inlineStr">
        <is>
          <t>Clara De Castro (Director, General Services &amp; Facilities) returns the signed attestation, attachment: Data_Integrity_Attestation_Santander-BCiC.pdf (signed Clara G. De Castro).</t>
        </is>
      </c>
      <c r="F90" s="76" t="inlineStr">
        <is>
          <t>Approval evidence for 1 DIV records: approval evidence dated after 06/01/2026 (BCiC approval 08/18/2026), samples 1937</t>
        </is>
      </c>
      <c r="G90" s="77" t="inlineStr">
        <is>
          <t>PASS</t>
        </is>
      </c>
    </row>
    <row r="91" ht="46" customHeight="1" s="50">
      <c r="A91" s="76" t="inlineStr">
        <is>
          <t>DMA10</t>
        </is>
      </c>
      <c r="B91"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76" t="inlineStr">
        <is>
          <t>08/21/2026, Victoria Fernandez</t>
        </is>
      </c>
      <c r="D91" s="76" t="inlineStr">
        <is>
          <t>T24 (row 52)</t>
        </is>
      </c>
      <c r="E91" s="76" t="inlineStr">
        <is>
          <t>"Approved": Digital Wealth.</t>
        </is>
      </c>
      <c r="F91" s="76" t="inlineStr">
        <is>
          <t>Approval evidence for 1 DIV records: approval evidence dated after 06/01/2026 (BCiC approval 08/21/2026), samples 1937</t>
        </is>
      </c>
      <c r="G91" s="77" t="inlineStr">
        <is>
          <t>PASS</t>
        </is>
      </c>
    </row>
    <row r="92" ht="46" customHeight="1" s="50">
      <c r="A92" s="76" t="inlineStr">
        <is>
          <t>DMA11</t>
        </is>
      </c>
      <c r="B92"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76" t="inlineStr">
        <is>
          <t>09/09/2026, Miguel Orozco</t>
        </is>
      </c>
      <c r="D92" s="76" t="inlineStr">
        <is>
          <t>T24 (rows 15, 50); Imaging101 (row 51)</t>
        </is>
      </c>
      <c r="E92" s="76" t="inlineStr">
        <is>
          <t>"I approve the integrity validation for the testing performed by the Commercial Middle Office."</t>
        </is>
      </c>
      <c r="F92" s="76" t="inlineStr">
        <is>
          <t>Approval evidence for 3 DIV records: approval evidence dated after 06/01/2026 (BCiC approval 09/09/2026), samples 3299, 1937</t>
        </is>
      </c>
      <c r="G92" s="77" t="inlineStr">
        <is>
          <t>PASS</t>
        </is>
      </c>
    </row>
    <row r="93" ht="46" customHeight="1" s="50">
      <c r="A93" s="76" t="inlineStr">
        <is>
          <t>DMA12</t>
        </is>
      </c>
      <c r="B93"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76" t="inlineStr">
        <is>
          <t>09/09/2026, Liliana Vizhnay</t>
        </is>
      </c>
      <c r="D93" s="76" t="inlineStr">
        <is>
          <t>T24 (row 49)</t>
        </is>
      </c>
      <c r="E93" s="76" t="inlineStr">
        <is>
          <t>"I approve.", Client Servicing Unit.</t>
        </is>
      </c>
      <c r="F93" s="76" t="inlineStr">
        <is>
          <t>Approval evidence for 1 DIV records: approval evidence dated after 06/01/2026 (BCiC approval 09/09/2026), samples 1937</t>
        </is>
      </c>
      <c r="G93" s="77" t="inlineStr">
        <is>
          <t>PASS</t>
        </is>
      </c>
    </row>
    <row r="94" ht="46" customHeight="1" s="50">
      <c r="A94" s="76" t="inlineStr">
        <is>
          <t>DMA13</t>
        </is>
      </c>
      <c r="B94"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76" t="inlineStr">
        <is>
          <t>09/09/2026, Elizabeth Noda</t>
        </is>
      </c>
      <c r="D94" s="76" t="inlineStr">
        <is>
          <t>Cisco Call Manager: not one of the 10 tested applications</t>
        </is>
      </c>
      <c r="E94" s="76" t="inlineStr">
        <is>
          <t>"approve": Cisco Call Manager (IT). Cisco Call Manager is NOT one of the 10 tested applications, retained for completeness only.</t>
        </is>
      </c>
      <c r="F94" s="76" t="inlineStr">
        <is>
          <t>Out of scope: retained for completeness, samples: none</t>
        </is>
      </c>
      <c r="G94" s="79" t="inlineStr">
        <is>
          <t>N/A (supplemental, not relied on)</t>
        </is>
      </c>
    </row>
    <row r="95" s="50">
      <c r="A95" s="74" t="n"/>
      <c r="B95" s="74" t="n"/>
      <c r="C95" s="74" t="n"/>
      <c r="D95" s="74" t="n"/>
      <c r="E95" s="74" t="n"/>
      <c r="F95" s="74" t="n"/>
      <c r="G95" s="74" t="n"/>
    </row>
    <row r="96" ht="15.5" customHeight="1" s="50">
      <c r="A96" s="71" t="inlineStr">
        <is>
          <t>Management Attestation / In-Scope Applications (folder 01) and Data Integrity &amp; Email Testing Evidence (folder 04), Review</t>
        </is>
      </c>
      <c r="B96" s="97" t="n"/>
      <c r="C96" s="97" t="n"/>
      <c r="D96" s="97" t="n"/>
      <c r="E96" s="97" t="n"/>
      <c r="F96" s="97" t="n"/>
      <c r="G96" s="98" t="n"/>
    </row>
    <row r="97" ht="26" customHeight="1" s="50">
      <c r="A97" s="73" t="inlineStr">
        <is>
          <t>Ref</t>
        </is>
      </c>
      <c r="B97" s="73" t="inlineStr">
        <is>
          <t>Evidence file (repository location)</t>
        </is>
      </c>
      <c r="C97" s="73" t="inlineStr">
        <is>
          <t>Date / owner</t>
        </is>
      </c>
      <c r="D97" s="73" t="inlineStr">
        <is>
          <t>Type</t>
        </is>
      </c>
      <c r="E97" s="73" t="inlineStr">
        <is>
          <t>Content reviewed</t>
        </is>
      </c>
      <c r="F97" s="73" t="inlineStr">
        <is>
          <t>Samples / workpaper columns supported</t>
        </is>
      </c>
      <c r="G97" s="73" t="inlineStr">
        <is>
          <t>Control Sample Assessment Result (Pass/Fail)</t>
        </is>
      </c>
    </row>
    <row r="98" ht="76" customHeight="1" s="50">
      <c r="A98" s="76" t="inlineStr">
        <is>
          <t>MA01</t>
        </is>
      </c>
      <c r="B98"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76" t="inlineStr">
        <is>
          <t>09/23/2026, Cesar Vidal (BCiC walkthrough)</t>
        </is>
      </c>
      <c r="D98" s="76" t="inlineStr">
        <is>
          <t>BCiC screenshot</t>
        </is>
      </c>
      <c r="E98"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76" t="inlineStr">
        <is>
          <t>Samples: 1822, 1867, 1868, 3299, 4052, 3301, 1903, 1917, 1936, 1937; columns: B, C, L</t>
        </is>
      </c>
      <c r="G98" s="77" t="inlineStr">
        <is>
          <t>PASS</t>
        </is>
      </c>
    </row>
    <row r="99" ht="46" customHeight="1" s="50">
      <c r="A99" s="76" t="inlineStr">
        <is>
          <t>E01</t>
        </is>
      </c>
      <c r="B9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76" t="inlineStr">
        <is>
          <t>BCiC: Applications In Scope for DR Test BSI</t>
        </is>
      </c>
      <c r="D99" s="76" t="inlineStr">
        <is>
          <t>BCiC export</t>
        </is>
      </c>
      <c r="E99" s="76" t="inlineStr">
        <is>
          <t>BCiC export of the BSI DR-scope population (43 applications) with Exercise Date and 2025 DR / Backup-Restore / DIV scope flags.</t>
        </is>
      </c>
      <c r="F99" s="76" t="inlineStr">
        <is>
          <t>Samples: 1822, 1867, 1868, 3299, 4052, 3301, 1903, 1917, 1936, 1937; columns: B, C, D, E, L, M</t>
        </is>
      </c>
      <c r="G99" s="77" t="inlineStr">
        <is>
          <t>PASS</t>
        </is>
      </c>
    </row>
    <row r="100" ht="46" customHeight="1" s="50">
      <c r="A100" s="76" t="inlineStr">
        <is>
          <t>E02</t>
        </is>
      </c>
      <c r="B100"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76" t="inlineStr">
        <is>
          <t>09/10/2026, Cesar Vidal</t>
        </is>
      </c>
      <c r="D100" s="76" t="inlineStr">
        <is>
          <t>BCiC screenshot</t>
        </is>
      </c>
      <c r="E100" s="76" t="inlineStr">
        <is>
          <t>BCiC Applications screen with view 'Applications In Scope for DR Test BSI' selected (1 to 20 of 43 items).</t>
        </is>
      </c>
      <c r="F100" s="76" t="inlineStr">
        <is>
          <t>Samples: 1822, 1867, 1868, 3299, 4052, 3301, 1903, 1917, 1936, 1937; columns: B, C, L</t>
        </is>
      </c>
      <c r="G100" s="77" t="inlineStr">
        <is>
          <t>PASS</t>
        </is>
      </c>
    </row>
    <row r="101" ht="52" customHeight="1" s="50">
      <c r="A101" s="76" t="inlineStr">
        <is>
          <t>E03</t>
        </is>
      </c>
      <c r="B10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76" t="inlineStr">
        <is>
          <t>BCiC: Data Integrity Validation Testing (62 records)</t>
        </is>
      </c>
      <c r="D101" s="76" t="inlineStr">
        <is>
          <t>BCiC export</t>
        </is>
      </c>
      <c r="E101" s="76" t="inlineStr">
        <is>
          <t>BCiC DIV export incl. Business Tester, Business Data Validation Date, Department Manager, Department Manager Approval Date, Y/N Format/Headers/Content, Attestation Date / Provided By. Row numbers quoted are Excel rows.</t>
        </is>
      </c>
      <c r="F101" s="76" t="inlineStr">
        <is>
          <t>Samples: 1822, 1867, 1868, 3299, 4052, 3301, 1903, 1917, 1936, 1937; columns: B, D, E, F, G, H, I, J, L, M, N, O, P</t>
        </is>
      </c>
      <c r="G101" s="77" t="inlineStr">
        <is>
          <t>PASS</t>
        </is>
      </c>
    </row>
    <row r="102" ht="46" customHeight="1" s="50">
      <c r="A102" s="76" t="inlineStr">
        <is>
          <t>E04</t>
        </is>
      </c>
      <c r="B102"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76" t="inlineStr">
        <is>
          <t>09/10/2026, Cesar Vidal</t>
        </is>
      </c>
      <c r="D102" s="76" t="inlineStr">
        <is>
          <t>BCiC screenshot</t>
        </is>
      </c>
      <c r="E102" s="76" t="inlineStr">
        <is>
          <t>BCiC 'Data Integrity Validation Testing' screen (1 to 20 of 66 items) showing tester, validation date, manager, approval date, Y/N results and attestation fields.</t>
        </is>
      </c>
      <c r="F102" s="76" t="inlineStr">
        <is>
          <t>Samples: 1822, 1867, 1868, 3299, 4052, 3301, 1903, 1917, 1936, 1937; columns: B, F, G, H, I, L, P</t>
        </is>
      </c>
      <c r="G102" s="77" t="inlineStr">
        <is>
          <t>PASS</t>
        </is>
      </c>
    </row>
    <row r="103" ht="46" customHeight="1" s="50">
      <c r="A103" s="76" t="inlineStr">
        <is>
          <t>E05</t>
        </is>
      </c>
      <c r="B103"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76" t="inlineStr">
        <is>
          <t>09/15/2025, Elizabeth Noda</t>
        </is>
      </c>
      <c r="D103" s="76" t="inlineStr">
        <is>
          <t>Meeting invite</t>
        </is>
      </c>
      <c r="E103" s="76" t="inlineStr">
        <is>
          <t>IT DR meeting invite to review the 2025 BIA results and applications list ahead of the DR exercise (same invite re-sent 09/18/2025, duplicate E06 removed).</t>
        </is>
      </c>
      <c r="F103" s="76" t="inlineStr">
        <is>
          <t>Samples: 1822, 1867, 1868, 3299, 4052, 3301, 1903, 1917, 1936, 1937; columns: C, N</t>
        </is>
      </c>
      <c r="G103" s="77" t="inlineStr">
        <is>
          <t>PASS</t>
        </is>
      </c>
    </row>
    <row r="104" ht="148" customFormat="1" customHeight="1" s="74">
      <c r="A104" s="76" t="inlineStr">
        <is>
          <t>E07</t>
        </is>
      </c>
      <c r="B104"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76" t="inlineStr">
        <is>
          <t>11/15/2025, Frank Puentes</t>
        </is>
      </c>
      <c r="D104" s="76" t="inlineStr">
        <is>
          <t>Email + report attachments</t>
        </is>
      </c>
      <c r="E104"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76" t="inlineStr">
        <is>
          <t>Samples: 3301, 1903, 1936, 1937; columns: G</t>
        </is>
      </c>
      <c r="G104" s="77" t="inlineStr">
        <is>
          <t>PASS</t>
        </is>
      </c>
    </row>
    <row r="105" ht="160" customHeight="1" s="50">
      <c r="A105" s="76" t="inlineStr">
        <is>
          <t>E08</t>
        </is>
      </c>
      <c r="B105"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76" t="inlineStr">
        <is>
          <t>11/15/2025, Frank Puentes</t>
        </is>
      </c>
      <c r="D105" s="76" t="inlineStr">
        <is>
          <t>Email + report attachments</t>
        </is>
      </c>
      <c r="E105"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76" t="inlineStr">
        <is>
          <t>Samples: 3301, 1903, 1936, 1937; columns: G, N</t>
        </is>
      </c>
      <c r="G105" s="77" t="inlineStr">
        <is>
          <t>PASS</t>
        </is>
      </c>
    </row>
    <row r="106" ht="52" customHeight="1" s="50">
      <c r="A106" s="76" t="inlineStr">
        <is>
          <t>E09</t>
        </is>
      </c>
      <c r="B106"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76" t="inlineStr">
        <is>
          <t>03/03/2026 to 05/05/2026: Claudia Romero</t>
        </is>
      </c>
      <c r="D106" s="76" t="inlineStr">
        <is>
          <t>Email approval</t>
        </is>
      </c>
      <c r="E106" s="76" t="inlineStr">
        <is>
          <t>Client Back Office test evidence (Mariorly Morales, Ilumel Rodriguez, Rolando Bonilla) and Claudia Romero "Approved." 05/05/2026. Thread maps ACH Express, FedExport, FedImport, Imaging101 to Client Back Office / Claudia Romero.</t>
        </is>
      </c>
      <c r="F106" s="76" t="inlineStr">
        <is>
          <t>Samples: 1822, 1867, 1868, 3299, 1937; columns: C, F, H, I, K, N, O</t>
        </is>
      </c>
      <c r="G106" s="77" t="inlineStr">
        <is>
          <t>PASS</t>
        </is>
      </c>
    </row>
    <row r="107" ht="46" customHeight="1" s="50">
      <c r="A107" s="76" t="inlineStr">
        <is>
          <t>E10</t>
        </is>
      </c>
      <c r="B107"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76" t="inlineStr">
        <is>
          <t>03/09/2026, Lina Acuna</t>
        </is>
      </c>
      <c r="D107" s="76" t="inlineStr">
        <is>
          <t>Email approval</t>
        </is>
      </c>
      <c r="E107" s="76" t="inlineStr">
        <is>
          <t>Finance DIV results chart (Jose Acero) and Lina Acuna "Approved" 03/09/2026 (T24 / ReconXpert backup-restore).</t>
        </is>
      </c>
      <c r="F107" s="76" t="inlineStr">
        <is>
          <t>Samples: 1917, 1937; columns: N</t>
        </is>
      </c>
      <c r="G107" s="77" t="inlineStr">
        <is>
          <t>PASS</t>
        </is>
      </c>
    </row>
    <row r="108" ht="46" customHeight="1" s="50">
      <c r="A108" s="76" t="inlineStr">
        <is>
          <t>E13</t>
        </is>
      </c>
      <c r="B108"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76" t="inlineStr">
        <is>
          <t>11/13/2024, T24 backup user</t>
        </is>
      </c>
      <c r="D108" s="76" t="inlineStr">
        <is>
          <t>System email</t>
        </is>
      </c>
      <c r="E108" s="76" t="inlineStr">
        <is>
          <t>T24 environment refresh log: prior period (outside review period); supplemental only.</t>
        </is>
      </c>
      <c r="F108" s="76" t="inlineStr">
        <is>
          <t>Samples: ; columns: (supplemental)</t>
        </is>
      </c>
      <c r="G108" s="79" t="inlineStr">
        <is>
          <t>N/A (supplemental, not relied on)</t>
        </is>
      </c>
    </row>
    <row r="109" ht="46" customHeight="1" s="50">
      <c r="A109" s="76" t="inlineStr">
        <is>
          <t>E16b</t>
        </is>
      </c>
      <c r="B109"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76" t="inlineStr">
        <is>
          <t>08/2026: BCiC export sent with attestation request</t>
        </is>
      </c>
      <c r="D109" s="76" t="inlineStr">
        <is>
          <t>BCiC export</t>
        </is>
      </c>
      <c r="E109" s="76" t="inlineStr">
        <is>
          <t>BCiC DIV export 2025-26 (64 rows; no manager columns) sent to managers with the attestation request and returned by M. T. Del Cerro (DMA05). Row numbers are Excel rows.</t>
        </is>
      </c>
      <c r="F109" s="76" t="inlineStr">
        <is>
          <t>Samples: 1822, 1867, 1868, 3299, 4052, 3301, 1903, 1917, 1936, 1937; columns: B, D, F, G, J, L, P</t>
        </is>
      </c>
      <c r="G109" s="77" t="inlineStr">
        <is>
          <t>PASS</t>
        </is>
      </c>
    </row>
    <row r="110" s="50">
      <c r="A110" s="74" t="n"/>
      <c r="B110" s="74" t="n"/>
      <c r="C110" s="74" t="n"/>
      <c r="D110" s="74" t="n"/>
      <c r="E110" s="74" t="n"/>
      <c r="F110" s="74" t="n"/>
      <c r="G110" s="74" t="n"/>
    </row>
    <row r="111" ht="148" customHeight="1" s="50"/>
    <row r="112" s="50">
      <c r="A112" s="74" t="n"/>
      <c r="B112" s="74" t="n"/>
      <c r="C112" s="74" t="n"/>
      <c r="D112" s="74" t="n"/>
      <c r="E112" s="74" t="n"/>
      <c r="F112" s="74" t="n"/>
      <c r="G112" s="74" t="n"/>
    </row>
    <row r="113" ht="15.5" customHeight="1" s="50">
      <c r="A113" s="71" t="inlineStr">
        <is>
          <t>Conclusion: all applications in scope (PASS) with evidence references</t>
        </is>
      </c>
      <c r="B113" s="97" t="n"/>
      <c r="C113" s="97" t="n"/>
      <c r="D113" s="97" t="n"/>
      <c r="E113" s="97" t="n"/>
      <c r="F113" s="97" t="n"/>
      <c r="G113" s="98" t="n"/>
    </row>
    <row r="114" ht="40" customHeight="1" s="50">
      <c r="A114" s="73" t="inlineStr">
        <is>
          <t>App ID</t>
        </is>
      </c>
      <c r="B114" s="73" t="inlineStr">
        <is>
          <t>Application</t>
        </is>
      </c>
      <c r="C114" s="73" t="inlineStr">
        <is>
          <t>Business line managers</t>
        </is>
      </c>
      <c r="D114" s="73" t="inlineStr">
        <is>
          <t>Evidence references and the attributes they support (column letters; click App ID for full detail)</t>
        </is>
      </c>
      <c r="E114" s="73" t="inlineStr">
        <is>
          <t>Attributes tested and their evidence references (PASS)</t>
        </is>
      </c>
      <c r="F114" s="73" t="inlineStr">
        <is>
          <t>Conclusion</t>
        </is>
      </c>
      <c r="G114" s="73" t="inlineStr">
        <is>
          <t>Control Sample Assessment Result (Pass/Fail)</t>
        </is>
      </c>
    </row>
    <row r="115" ht="258" customHeight="1" s="50">
      <c r="A115" s="80" t="inlineStr">
        <is>
          <t>1822</t>
        </is>
      </c>
      <c r="B115" s="75" t="inlineStr">
        <is>
          <t>ACH Express</t>
        </is>
      </c>
      <c r="C115" s="76" t="inlineStr">
        <is>
          <t>Claudia Romero (Client Back Office)</t>
        </is>
      </c>
      <c r="D115" s="76"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76" t="inlineStr">
        <is>
          <t>PASS. DIV executed and validated (Y/Y/Y) during the 11/15/2025 annual DR exercise, application in scope (MA01), results documented in BCiC/BCMS and approved by business line management (Claudia Romero).</t>
        </is>
      </c>
      <c r="G115" s="77" t="inlineStr">
        <is>
          <t>PASS</t>
        </is>
      </c>
    </row>
    <row r="116" ht="258" customHeight="1" s="50">
      <c r="A116" s="80" t="inlineStr">
        <is>
          <t>1867</t>
        </is>
      </c>
      <c r="B116" s="75" t="inlineStr">
        <is>
          <t>FedExport - BSI</t>
        </is>
      </c>
      <c r="C116" s="76" t="inlineStr">
        <is>
          <t>Claudia Romero (Client Back Office)</t>
        </is>
      </c>
      <c r="D116"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76" t="inlineStr">
        <is>
          <t>PASS. DIV executed and validated (Y/Y/Y) during the 11/15/2025 annual DR exercise, application in scope (MA01), results documented in BCiC/BCMS and approved by business line management (Claudia Romero).</t>
        </is>
      </c>
      <c r="G116" s="77" t="inlineStr">
        <is>
          <t>PASS</t>
        </is>
      </c>
    </row>
    <row r="117" ht="258" customHeight="1" s="50">
      <c r="A117" s="80" t="inlineStr">
        <is>
          <t>1868</t>
        </is>
      </c>
      <c r="B117" s="75" t="inlineStr">
        <is>
          <t>FedImport - BSI</t>
        </is>
      </c>
      <c r="C117" s="76" t="inlineStr">
        <is>
          <t>Claudia Romero (Client Back Office)</t>
        </is>
      </c>
      <c r="D117"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76" t="inlineStr">
        <is>
          <t>PASS. DIV executed and validated (Y/Y/Y) during the 11/15/2025 annual DR exercise, application in scope (MA01), results documented in BCiC/BCMS and approved by business line management (Claudia Romero).</t>
        </is>
      </c>
      <c r="G117" s="77" t="inlineStr">
        <is>
          <t>PASS</t>
        </is>
      </c>
    </row>
    <row r="118" ht="294" customHeight="1" s="50">
      <c r="A118" s="80" t="inlineStr">
        <is>
          <t>3299</t>
        </is>
      </c>
      <c r="B118" s="75" t="inlineStr">
        <is>
          <t>Imaging101</t>
        </is>
      </c>
      <c r="C118" s="76" t="inlineStr">
        <is>
          <t>David Marquez (BSA/AML/OFAC Compliance)</t>
        </is>
      </c>
      <c r="D118" s="76"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76"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76" t="inlineStr">
        <is>
          <t>PASS. DIV executed and validated (Y/Y/Y) during the 11/15/2025 annual DR exercise, application in scope (MA01), results documented in BCiC/BCMS and approved by business line management (David Marquez, Claudia Romero, Miguel Orozco, Maria del Cerro Hontanilla).</t>
        </is>
      </c>
      <c r="G118" s="77" t="inlineStr">
        <is>
          <t>PASS</t>
        </is>
      </c>
    </row>
    <row r="119" ht="246" customHeight="1" s="50">
      <c r="A119" s="80" t="inlineStr">
        <is>
          <t>4052</t>
        </is>
      </c>
      <c r="B119" s="75" t="inlineStr">
        <is>
          <t>Interface Monitor</t>
        </is>
      </c>
      <c r="C119" s="76" t="inlineStr">
        <is>
          <t>Michelle Oropesa (Investment Operations)</t>
        </is>
      </c>
      <c r="D119" s="76" t="inlineStr">
        <is>
          <t>BLA04 supports D, F, G, J, M, N, O
DMA02 supports C, D, E, M, N, P
DMA04 supports H, I, K, O
MA01 supports B, C, L
E01 supports B, C, D, E, L, M
E02 supports B, C, L
E03 supports B, D, E, F, G, H, I, J, L, M, N, O, P
E04 supports B, L, P
E05 supports C, N
E16b supports B, D, F, G, J, L, P</t>
        </is>
      </c>
      <c r="E119" s="76"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76" t="inlineStr">
        <is>
          <t>PASS. DIV executed and validated (Y/Y/Y) during the 11/15/2025 annual DR exercise, application in scope (MA01), results documented in BCiC/BCMS and approved by business line management (Michelle Oropesa).</t>
        </is>
      </c>
      <c r="G119" s="77" t="inlineStr">
        <is>
          <t>PASS</t>
        </is>
      </c>
    </row>
    <row r="120" ht="246" customHeight="1" s="50">
      <c r="A120" s="80" t="inlineStr">
        <is>
          <t>3301</t>
        </is>
      </c>
      <c r="B120" s="75" t="inlineStr">
        <is>
          <t>MQ Payment Monitor</t>
        </is>
      </c>
      <c r="C120" s="76" t="inlineStr">
        <is>
          <t>Franklin Puentes (Payments &amp; Cash Management)</t>
        </is>
      </c>
      <c r="D120" s="76"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76"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76" t="inlineStr">
        <is>
          <t>PASS. DIV executed and validated (Y/Y/Y) during the 11/15/2025 annual DR exercise, application in scope (MA01), results documented in BCiC/BCMS and approved by business line management (Franklin Puentes).</t>
        </is>
      </c>
      <c r="G120" s="77" t="inlineStr">
        <is>
          <t>PASS</t>
        </is>
      </c>
    </row>
    <row r="121" ht="282" customHeight="1" s="50">
      <c r="A121" s="80" t="inlineStr">
        <is>
          <t>1903</t>
        </is>
      </c>
      <c r="B121" s="75" t="inlineStr">
        <is>
          <t>OFAC - BSI</t>
        </is>
      </c>
      <c r="C121" s="76" t="inlineStr">
        <is>
          <t>David Marquez (BSA/AML/OFAC Compliance)</t>
        </is>
      </c>
      <c r="D121" s="76"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76"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76" t="inlineStr">
        <is>
          <t>PASS. DIV executed and validated (Y/Y/Y) during the 11/15/2025 annual DR exercise, application in scope (MA01), results documented in BCiC/BCMS and approved by business line management (David Marquez, Franklin Puentes, Maria del Cerro Hontanilla).</t>
        </is>
      </c>
      <c r="G121" s="77" t="inlineStr">
        <is>
          <t>PASS</t>
        </is>
      </c>
    </row>
    <row r="122" ht="246" customHeight="1" s="50">
      <c r="A122" s="80" t="inlineStr">
        <is>
          <t>1917</t>
        </is>
      </c>
      <c r="B122" s="75" t="inlineStr">
        <is>
          <t>ReconXpert</t>
        </is>
      </c>
      <c r="C122" s="76" t="inlineStr">
        <is>
          <t>Sadis Alvarenga Hernandez (Financial Analysis and Control)</t>
        </is>
      </c>
      <c r="D122" s="76"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76"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76" t="inlineStr">
        <is>
          <t>PASS. DIV executed and validated (Y/Y/Y) during the 11/15/2025 annual DR exercise, application in scope (MA01), results documented in BCiC/BCMS and approved by business line management (Sadis Alvarenga Hernandez).</t>
        </is>
      </c>
      <c r="G122" s="77" t="inlineStr">
        <is>
          <t>PASS</t>
        </is>
      </c>
    </row>
    <row r="123" ht="270" customHeight="1" s="50">
      <c r="A123" s="80" t="inlineStr">
        <is>
          <t>1936</t>
        </is>
      </c>
      <c r="B123" s="75" t="inlineStr">
        <is>
          <t>Swift Interface - BSI</t>
        </is>
      </c>
      <c r="C123" s="76" t="inlineStr">
        <is>
          <t>David Marquez (BSA/AML/OFAC Compliance)</t>
        </is>
      </c>
      <c r="D123" s="76"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76"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76" t="inlineStr">
        <is>
          <t>PASS. DIV executed and validated (Y/Y/Y) during the 11/15/2025 annual DR exercise, application in scope (MA01), results documented in BCiC/BCMS and approved by business line management (David Marquez, Michelle Oropesa).</t>
        </is>
      </c>
      <c r="G123" s="77" t="inlineStr">
        <is>
          <t>PASS</t>
        </is>
      </c>
    </row>
    <row r="124" ht="378" customHeight="1" s="50">
      <c r="A124" s="80" t="inlineStr">
        <is>
          <t>1937</t>
        </is>
      </c>
      <c r="B124" s="75" t="inlineStr">
        <is>
          <t>T24</t>
        </is>
      </c>
      <c r="C124" s="76" t="inlineStr">
        <is>
          <t>Ricardo Garcia (Active Investment Services; Portfolio Advisory &amp; SAS; Products &amp; Investments Technology; Trading &amp; Capital Markets)</t>
        </is>
      </c>
      <c r="D124" s="76"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76"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76" t="inlineStr">
        <is>
          <t>PASS.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77" t="inlineStr">
        <is>
          <t>PASS</t>
        </is>
      </c>
    </row>
    <row r="125" s="50"/>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hyperlink ref="A5" location="'Application Attribute Testing'!A98" tooltip="Go to MA01 evidence review"/>
    <hyperlink ref="A7" location="'Application Attribute Testing-1'!C2" tooltip="Back to column C on Application Attribute Testing-1"/>
    <hyperlink ref="A9" location="'Application Attribute Testing'!A98" tooltip="Go to MA01 evidence review"/>
    <hyperlink ref="A11" location="'Application Attribute Testing-1'!D2" tooltip="Back to column D on Application Attribute Testing-1"/>
    <hyperlink ref="A13" location="'Application Attribute Testing'!A99" tooltip="Go to E01 evidence review"/>
    <hyperlink ref="A15" location="'Application Attribute Testing-1'!E2" tooltip="Back to column E on Application Attribute Testing-1"/>
    <hyperlink ref="A17" location="'Application Attribute Testing'!A99" tooltip="Go to E01 evidence review"/>
    <hyperlink ref="A19" location="'Application Attribute Testing-1'!F2" tooltip="Back to column F on Application Attribute Testing-1"/>
    <hyperlink ref="A21" location="'Application Attribute Testing'!A101" tooltip="Go to E03 evidence review"/>
    <hyperlink ref="A23" location="'Application Attribute Testing-1'!G2" tooltip="Back to column G on Application Attribute Testing-1"/>
    <hyperlink ref="A25" location="'Application Attribute Testing'!A101" tooltip="Go to E03 evidence review"/>
    <hyperlink ref="A27" location="'Application Attribute Testing-1'!H2" tooltip="Back to column H on Application Attribute Testing-1"/>
    <hyperlink ref="A29" location="'Application Attribute Testing'!A101" tooltip="Go to E03 evidence review"/>
    <hyperlink ref="A31" location="'Application Attribute Testing-1'!I2" tooltip="Back to column I on Application Attribute Testing-1"/>
    <hyperlink ref="A33" location="'Application Attribute Testing'!A101" tooltip="Go to E03 evidence review"/>
    <hyperlink ref="A35" location="'Application Attribute Testing-1'!J2" tooltip="Back to column J on Application Attribute Testing-1"/>
    <hyperlink ref="A37" location="'Application Attribute Testing'!A101" tooltip="Go to E03 evidence review"/>
    <hyperlink ref="A39" location="'Application Attribute Testing-1'!K2" tooltip="Back to column K on Application Attribute Testing-1"/>
    <hyperlink ref="A41" location="'Application Attribute Testing'!A78" tooltip="Go to BLA06 evidence review"/>
    <hyperlink ref="A42" location="'Application Attribute Testing'!A82" tooltip="Go to DMA01 evidence review"/>
    <hyperlink ref="A43" location="'Application Attribute Testing'!A83" tooltip="Go to DMA02 evidence review"/>
    <hyperlink ref="A44" location="'Application Attribute Testing'!A84" tooltip="Go to DMA03 evidence review"/>
    <hyperlink ref="A45" location="'Application Attribute Testing'!A85" tooltip="Go to DMA04 evidence review"/>
    <hyperlink ref="A47" location="'Application Attribute Testing-1'!L2" tooltip="Back to column L on Application Attribute Testing-1"/>
    <hyperlink ref="A49" location="'Application Attribute Testing'!A101" tooltip="Go to E03 evidence review"/>
    <hyperlink ref="A51" location="'Application Attribute Testing-1'!M2" tooltip="Back to column M on Application Attribute Testing-1"/>
    <hyperlink ref="A53" location="'Application Attribute Testing'!A99" tooltip="Go to E01 evidence review"/>
    <hyperlink ref="A55" location="'Application Attribute Testing-1'!N2" tooltip="Back to column N on Application Attribute Testing-1"/>
    <hyperlink ref="A57" location="'Application Attribute Testing'!A103" tooltip="Go to E05 evidence review"/>
    <hyperlink ref="A59" location="'Application Attribute Testing-1'!O2" tooltip="Back to column O on Application Attribute Testing-1"/>
    <hyperlink ref="A61" location="'Application Attribute Testing'!A78" tooltip="Go to BLA06 evidence review"/>
    <hyperlink ref="A62" location="'Application Attribute Testing'!A82" tooltip="Go to DMA01 evidence review"/>
    <hyperlink ref="A63" location="'Application Attribute Testing'!A83" tooltip="Go to DMA02 evidence review"/>
    <hyperlink ref="A64" location="'Application Attribute Testing'!A84" tooltip="Go to DMA03 evidence review"/>
    <hyperlink ref="A65" location="'Application Attribute Testing'!A85" tooltip="Go to DMA04 evidence review"/>
    <hyperlink ref="A67" location="'Application Attribute Testing-1'!P2" tooltip="Back to column P on Application Attribute Testing-1"/>
    <hyperlink ref="A69" location="'Application Attribute Testing'!A101" tooltip="Go to E03 evidence review"/>
    <hyperlink ref="A115" location="'Application Attribute Testing-1'!A3" tooltip="Back to sample 1822 on Application Attribute Testing-1"/>
    <hyperlink ref="B115" location="'Application Attribute Testing-1'!A3" tooltip="Back to sample 1822 on Application Attribute Testing-1"/>
    <hyperlink ref="A116" location="'Application Attribute Testing-1'!A4" tooltip="Back to sample 1867 on Application Attribute Testing-1"/>
    <hyperlink ref="B116" location="'Application Attribute Testing-1'!A4" tooltip="Back to sample 1867 on Application Attribute Testing-1"/>
    <hyperlink ref="A117" location="'Application Attribute Testing-1'!A5" tooltip="Back to sample 1868 on Application Attribute Testing-1"/>
    <hyperlink ref="B117" location="'Application Attribute Testing-1'!A5" tooltip="Back to sample 1868 on Application Attribute Testing-1"/>
    <hyperlink ref="A118" location="'Application Attribute Testing-1'!A6" tooltip="Back to sample 3299 on Application Attribute Testing-1"/>
    <hyperlink ref="B118" location="'Application Attribute Testing-1'!A6" tooltip="Back to sample 3299 on Application Attribute Testing-1"/>
    <hyperlink ref="A119" location="'Application Attribute Testing-1'!A7" tooltip="Back to sample 4052 on Application Attribute Testing-1"/>
    <hyperlink ref="B119" location="'Application Attribute Testing-1'!A7" tooltip="Back to sample 4052 on Application Attribute Testing-1"/>
    <hyperlink ref="A120" location="'Application Attribute Testing-1'!A8" tooltip="Back to sample 3301 on Application Attribute Testing-1"/>
    <hyperlink ref="B120" location="'Application Attribute Testing-1'!A8" tooltip="Back to sample 3301 on Application Attribute Testing-1"/>
    <hyperlink ref="A121" location="'Application Attribute Testing-1'!A9" tooltip="Back to sample 1903 on Application Attribute Testing-1"/>
    <hyperlink ref="B121" location="'Application Attribute Testing-1'!A9" tooltip="Back to sample 1903 on Application Attribute Testing-1"/>
    <hyperlink ref="A122" location="'Application Attribute Testing-1'!A10" tooltip="Back to sample 1917 on Application Attribute Testing-1"/>
    <hyperlink ref="B122" location="'Application Attribute Testing-1'!A10" tooltip="Back to sample 1917 on Application Attribute Testing-1"/>
    <hyperlink ref="A123" location="'Application Attribute Testing-1'!A11" tooltip="Back to sample 1936 on Application Attribute Testing-1"/>
    <hyperlink ref="B123" location="'Application Attribute Testing-1'!A11" tooltip="Back to sample 1936 on Application Attribute Testing-1"/>
    <hyperlink ref="A124" location="'Application Attribute Testing-1'!A12" tooltip="Back to sample 1937 on Application Attribute Testing-1"/>
    <hyperlink ref="B124" location="'Application Attribute Testing-1'!A12" tooltip="Back to sample 1937 on Application Attribute Testing-1"/>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Y102"/>
  <sheetViews>
    <sheetView zoomScale="90" zoomScaleNormal="90" workbookViewId="0">
      <selection activeCell="D5" sqref="D5"/>
    </sheetView>
  </sheetViews>
  <sheetFormatPr baseColWidth="8" defaultColWidth="30.9140625" defaultRowHeight="14"/>
  <cols>
    <col width="35.83203125" customWidth="1" style="50" min="6" max="6"/>
  </cols>
  <sheetData>
    <row r="1" ht="75.5" customHeight="1" s="50">
      <c r="A1" s="81" t="inlineStr">
        <is>
          <t>BSI.IT.6.C7.3: DR Data Integrity Validation, Testing of attributes (Scope, Email approval and all attributes)</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c r="A2" s="74" t="n"/>
      <c r="B2" s="74" t="n"/>
      <c r="C2" s="74" t="n"/>
      <c r="D2" s="74" t="n"/>
      <c r="E2" s="74" t="n"/>
      <c r="F2" s="74" t="n"/>
      <c r="G2" s="65" t="n"/>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1" customHeight="1" s="50">
      <c r="A3" s="71" t="inlineStr">
        <is>
          <t>1. Application Name (column D): review of evidence files and results</t>
        </is>
      </c>
      <c r="B3" s="97" t="n"/>
      <c r="C3" s="97" t="n"/>
      <c r="D3" s="97" t="n"/>
      <c r="E3" s="97" t="n"/>
      <c r="F3" s="97" t="n"/>
      <c r="G3" s="98" t="n"/>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D), samples 1822, 1867, 1868, 3299, 4052, 3301, 1903, 1917, 1936, 1937</t>
        </is>
      </c>
      <c r="G5" s="77" t="inlineStr">
        <is>
          <t>PASS</t>
        </is>
      </c>
      <c r="H5" s="69" t="n"/>
      <c r="I5" s="70" t="n"/>
      <c r="J5" s="70" t="n"/>
      <c r="K5" s="70" t="n"/>
      <c r="L5" s="70" t="n"/>
      <c r="M5" s="70"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c r="A6" s="74" t="n"/>
      <c r="B6" s="74" t="n"/>
      <c r="C6" s="74" t="n"/>
      <c r="D6" s="74" t="n"/>
      <c r="E6" s="74" t="n"/>
      <c r="F6" s="74" t="n"/>
      <c r="G6" s="74" t="n"/>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15.5" customHeight="1" s="50">
      <c r="A7" s="71" t="inlineStr">
        <is>
          <t>2. IT DR exercise name (column B): review of evidence files and results</t>
        </is>
      </c>
      <c r="B7" s="97" t="n"/>
      <c r="C7" s="97" t="n"/>
      <c r="D7" s="97" t="n"/>
      <c r="E7" s="97" t="n"/>
      <c r="F7" s="97" t="n"/>
      <c r="G7" s="98" t="n"/>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126" customHeight="1" s="50">
      <c r="A9" s="78" t="inlineStr">
        <is>
          <t>E01</t>
        </is>
      </c>
      <c r="B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 s="76" t="inlineStr">
        <is>
          <t>BCiC: Applications In Scope for DR Test BSI</t>
        </is>
      </c>
      <c r="D9"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9" s="76" t="inlineStr">
        <is>
          <t>BCiC export of the BSI DR-scope population (43 applications) with Exercise Date and 2025 DR / Backup-Restore / DIV scope flags.
Checked for IT DR exercise name:
Exercise Date 12/11/25, 2025 DR Test Scope = True
Exercise Date 11/15/25, 2025 DR Test Scope = True</t>
        </is>
      </c>
      <c r="F9" s="76" t="inlineStr">
        <is>
          <t>Supports IT DR exercise name (column B), samples 1822, 1867, 1868, 3299, 4052, 3301, 1903, 1917, 1936, 1937</t>
        </is>
      </c>
      <c r="G9" s="77" t="inlineStr">
        <is>
          <t>PASS</t>
        </is>
      </c>
      <c r="H9" s="70" t="n"/>
      <c r="I9" s="70" t="n"/>
      <c r="J9" s="70" t="n"/>
      <c r="K9" s="70" t="n"/>
      <c r="L9" s="70" t="n"/>
      <c r="M9" s="70" t="n"/>
      <c r="N9" s="69" t="n"/>
      <c r="O9" s="70" t="n"/>
      <c r="P9" s="70"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c r="A10" s="74" t="n"/>
      <c r="B10" s="74" t="n"/>
      <c r="C10" s="74" t="n"/>
      <c r="D10" s="74" t="n"/>
      <c r="E10" s="74" t="n"/>
      <c r="F10" s="74" t="n"/>
      <c r="G10" s="74" t="n"/>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c r="A11" s="74" t="n"/>
      <c r="B11" s="74" t="n"/>
      <c r="C11" s="74" t="n"/>
      <c r="D11" s="74" t="n"/>
      <c r="E11" s="74" t="n"/>
      <c r="F11" s="74" t="n"/>
      <c r="G11" s="74" t="n"/>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15.5" customHeight="1" s="50">
      <c r="A12" s="71" t="inlineStr">
        <is>
          <t>4. Business Tester (column E): review of evidence files and results</t>
        </is>
      </c>
      <c r="B12" s="97" t="n"/>
      <c r="C12" s="97" t="n"/>
      <c r="D12" s="97" t="n"/>
      <c r="E12" s="97" t="n"/>
      <c r="F12" s="97" t="n"/>
      <c r="G12" s="98" t="n"/>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26" customHeight="1" s="50">
      <c r="A13" s="73" t="inlineStr">
        <is>
          <t>Ref</t>
        </is>
      </c>
      <c r="B13" s="73" t="inlineStr">
        <is>
          <t>Evidence file (repository location)</t>
        </is>
      </c>
      <c r="C13" s="73" t="inlineStr">
        <is>
          <t>Date / owner / operator</t>
        </is>
      </c>
      <c r="D13" s="73" t="inlineStr">
        <is>
          <t>Applications tested (source rows)</t>
        </is>
      </c>
      <c r="E13" s="73" t="inlineStr">
        <is>
          <t>Content reviewed</t>
        </is>
      </c>
      <c r="F13" s="73" t="inlineStr">
        <is>
          <t>Conclusion / samples supported</t>
        </is>
      </c>
      <c r="G13" s="73" t="inlineStr">
        <is>
          <t>Control Sample Assessment Result (Pass/Fail)</t>
        </is>
      </c>
      <c r="H13" s="67" t="n"/>
      <c r="Q13" s="68" t="n"/>
      <c r="R13" s="68" t="n"/>
      <c r="S13" s="68" t="n"/>
      <c r="T13" s="68" t="n"/>
      <c r="U13" s="68" t="n"/>
      <c r="V13" s="68" t="n"/>
      <c r="W13" s="85" t="n"/>
      <c r="X13" s="85" t="n"/>
      <c r="Y13" s="85" t="n"/>
      <c r="Z13" s="85" t="n"/>
      <c r="AA13" s="85"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ht="174" customHeight="1" s="50">
      <c r="A14" s="78" t="inlineStr">
        <is>
          <t>E03</t>
        </is>
      </c>
      <c r="B14"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4" s="76" t="inlineStr">
        <is>
          <t>BCiC: Data Integrity Validation Testing (62 records)</t>
        </is>
      </c>
      <c r="D14"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14" s="76" t="inlineStr">
        <is>
          <t>BCiC DIV export incl. Business Tester, Business Data Validation Date, Department Manager, Department Manager Approval Date, Y/N Format/Headers/Content, Attestation Date / Provided By. Row numbers quoted are Excel rows.
Checked for Business Tester:
'Business Tester(s)' column</t>
        </is>
      </c>
      <c r="F14" s="76" t="inlineStr">
        <is>
          <t>Supports Business Tester (column E), samples 1822, 1867, 1868, 3299, 4052, 3301, 1903, 1917, 1936, 1937</t>
        </is>
      </c>
      <c r="G14" s="77" t="inlineStr">
        <is>
          <t>PASS</t>
        </is>
      </c>
      <c r="H14" s="70" t="n"/>
      <c r="I14" s="70" t="n"/>
      <c r="J14" s="70" t="n"/>
      <c r="K14" s="70" t="n"/>
      <c r="L14" s="70" t="n"/>
      <c r="M14" s="69" t="n"/>
      <c r="N14" s="70" t="n"/>
      <c r="O14" s="70" t="n"/>
      <c r="P14" s="70" t="n"/>
      <c r="Q14" s="68" t="n"/>
      <c r="R14" s="68" t="n"/>
      <c r="S14" s="68" t="n"/>
      <c r="T14" s="68" t="n"/>
      <c r="U14" s="68" t="n"/>
      <c r="V14" s="68" t="n"/>
      <c r="W14" s="85" t="n"/>
      <c r="X14" s="85" t="n"/>
      <c r="Y14" s="85" t="n"/>
      <c r="Z14" s="85" t="n"/>
      <c r="AA14" s="85"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c r="A15" s="74" t="n"/>
      <c r="B15" s="74" t="n"/>
      <c r="C15" s="74" t="n"/>
      <c r="D15" s="74" t="n"/>
      <c r="E15" s="74" t="n"/>
      <c r="F15" s="74" t="n"/>
      <c r="G15" s="74" t="n"/>
      <c r="H15" s="68" t="n"/>
      <c r="I15" s="68" t="n"/>
      <c r="J15" s="68" t="n"/>
      <c r="K15" s="68" t="n"/>
      <c r="L15" s="68" t="n"/>
      <c r="M15" s="68" t="n"/>
      <c r="N15" s="68" t="n"/>
      <c r="O15" s="68" t="n"/>
      <c r="P15" s="68" t="n"/>
      <c r="Q15" s="68" t="n"/>
      <c r="R15" s="68" t="n"/>
      <c r="S15" s="68" t="n"/>
      <c r="T15" s="68" t="n"/>
      <c r="U15" s="68" t="n"/>
      <c r="V15" s="68" t="n"/>
      <c r="W15" s="85" t="n"/>
      <c r="X15" s="85" t="n"/>
      <c r="Y15" s="85" t="n"/>
      <c r="Z15" s="85" t="n"/>
      <c r="AA15" s="85"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15.5" customHeight="1" s="50">
      <c r="A16" s="71" t="inlineStr">
        <is>
          <t>5. Business Data validation (column F): review of evidence files and results</t>
        </is>
      </c>
      <c r="B16" s="97" t="n"/>
      <c r="C16" s="97" t="n"/>
      <c r="D16" s="97" t="n"/>
      <c r="E16" s="97" t="n"/>
      <c r="F16" s="97" t="n"/>
      <c r="G16" s="98" t="n"/>
      <c r="H16" s="68" t="n"/>
      <c r="I16" s="68" t="n"/>
      <c r="J16" s="68" t="n"/>
      <c r="K16" s="68" t="n"/>
      <c r="L16" s="68" t="n"/>
      <c r="M16" s="68" t="n"/>
      <c r="N16" s="68" t="n"/>
      <c r="O16" s="68" t="n"/>
      <c r="P16" s="68" t="n"/>
      <c r="Q16" s="68" t="n"/>
      <c r="R16" s="68" t="n"/>
      <c r="S16" s="68" t="n"/>
      <c r="T16" s="68" t="n"/>
      <c r="U16" s="68" t="n"/>
      <c r="V16" s="68" t="n"/>
      <c r="W16" s="85" t="n"/>
      <c r="X16" s="85" t="n"/>
      <c r="Y16" s="85" t="n"/>
      <c r="Z16" s="85" t="n"/>
      <c r="AA16" s="85"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26" customHeight="1" s="50">
      <c r="A17" s="73" t="inlineStr">
        <is>
          <t>Ref</t>
        </is>
      </c>
      <c r="B17" s="73" t="inlineStr">
        <is>
          <t>Evidence file (repository location)</t>
        </is>
      </c>
      <c r="C17" s="73" t="inlineStr">
        <is>
          <t>Date / owner / operator</t>
        </is>
      </c>
      <c r="D17" s="73" t="inlineStr">
        <is>
          <t>Applications tested (source rows)</t>
        </is>
      </c>
      <c r="E17" s="73" t="inlineStr">
        <is>
          <t>Content reviewed</t>
        </is>
      </c>
      <c r="F17" s="73" t="inlineStr">
        <is>
          <t>Conclusion / samples supported</t>
        </is>
      </c>
      <c r="G17" s="73" t="inlineStr">
        <is>
          <t>Control Sample Assessment Result (Pass/Fail)</t>
        </is>
      </c>
      <c r="H17" s="67" t="n"/>
      <c r="R17" s="68" t="n"/>
      <c r="S17" s="68" t="n"/>
      <c r="T17" s="68" t="n"/>
      <c r="U17" s="68" t="n"/>
      <c r="V17" s="68" t="n"/>
      <c r="W17" s="85" t="n"/>
      <c r="X17" s="85" t="n"/>
      <c r="Y17" s="85" t="n"/>
      <c r="Z17" s="85" t="n"/>
      <c r="AA17" s="85"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ht="174" customHeight="1" s="50">
      <c r="A18" s="78" t="inlineStr">
        <is>
          <t>E03</t>
        </is>
      </c>
      <c r="B18"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8" s="76" t="inlineStr">
        <is>
          <t>BCiC: Data Integrity Validation Testing (62 records)</t>
        </is>
      </c>
      <c r="D18"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18" s="76" t="inlineStr">
        <is>
          <t>BCiC DIV export incl. Business Tester, Business Data Validation Date, Department Manager, Department Manager Approval Date, Y/N Format/Headers/Content, Attestation Date / Provided By. Row numbers quoted are Excel rows.
Checked for Business Data validation:
Business Data Validation Date 11/15/2025; Y/N Format / Headers / Content = Y</t>
        </is>
      </c>
      <c r="F18" s="76" t="inlineStr">
        <is>
          <t>Supports Business Data validation (column F), samples 1822, 1867, 1868, 3299, 4052, 3301, 1903, 1917, 1936, 1937</t>
        </is>
      </c>
      <c r="G18" s="77" t="inlineStr">
        <is>
          <t>PASS</t>
        </is>
      </c>
      <c r="H18" s="70" t="n"/>
      <c r="I18" s="70" t="n"/>
      <c r="J18" s="70" t="n"/>
      <c r="K18" s="70" t="n"/>
      <c r="L18" s="70" t="n"/>
      <c r="M18" s="69" t="n"/>
      <c r="N18" s="70" t="n"/>
      <c r="O18" s="70" t="n"/>
      <c r="P18" s="70" t="n"/>
      <c r="Q18" s="70" t="n"/>
      <c r="R18" s="68" t="n"/>
      <c r="S18" s="68" t="n"/>
      <c r="T18" s="68" t="n"/>
      <c r="U18" s="68" t="n"/>
      <c r="V18" s="68" t="n"/>
      <c r="W18" s="85" t="n"/>
      <c r="X18" s="85" t="n"/>
      <c r="Y18" s="85" t="n"/>
      <c r="Z18" s="85" t="n"/>
      <c r="AA18" s="85"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c r="A19" s="74" t="n"/>
      <c r="B19" s="74" t="n"/>
      <c r="C19" s="74" t="n"/>
      <c r="D19" s="74" t="n"/>
      <c r="E19" s="74" t="n"/>
      <c r="F19" s="74" t="n"/>
      <c r="G19" s="74" t="n"/>
      <c r="H19" s="68" t="n"/>
      <c r="I19" s="68" t="n"/>
      <c r="J19" s="68" t="n"/>
      <c r="K19" s="68" t="n"/>
      <c r="L19" s="68" t="n"/>
      <c r="M19" s="68" t="n"/>
      <c r="N19" s="68" t="n"/>
      <c r="O19" s="68" t="n"/>
      <c r="P19" s="68" t="n"/>
      <c r="Q19" s="68" t="n"/>
      <c r="R19" s="68" t="n"/>
      <c r="S19" s="68" t="n"/>
      <c r="T19" s="68" t="n"/>
      <c r="U19" s="68" t="n"/>
      <c r="V19" s="68" t="n"/>
      <c r="W19" s="85" t="n"/>
      <c r="X19" s="85" t="n"/>
      <c r="Y19" s="85" t="n"/>
      <c r="Z19" s="85" t="n"/>
      <c r="AA19" s="85"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15.5" customHeight="1" s="50">
      <c r="A20" s="71" t="inlineStr">
        <is>
          <t>6. Business line manager name (column G): review of evidence files and results</t>
        </is>
      </c>
      <c r="B20" s="97" t="n"/>
      <c r="C20" s="97" t="n"/>
      <c r="D20" s="97" t="n"/>
      <c r="E20" s="97" t="n"/>
      <c r="F20" s="97" t="n"/>
      <c r="G20" s="98" t="n"/>
      <c r="H20" s="68" t="n"/>
      <c r="I20" s="68" t="n"/>
      <c r="J20" s="68" t="n"/>
      <c r="K20" s="68" t="n"/>
      <c r="L20" s="68" t="n"/>
      <c r="M20" s="68" t="n"/>
      <c r="N20" s="68" t="n"/>
      <c r="O20" s="68" t="n"/>
      <c r="P20" s="68" t="n"/>
      <c r="Q20" s="68" t="n"/>
      <c r="R20" s="68" t="n"/>
      <c r="S20" s="68" t="n"/>
      <c r="T20" s="68" t="n"/>
      <c r="U20" s="68" t="n"/>
      <c r="V20" s="68" t="n"/>
      <c r="W20" s="85" t="n"/>
      <c r="X20" s="85" t="n"/>
      <c r="Y20" s="85" t="n"/>
      <c r="Z20" s="85" t="n"/>
      <c r="AA20" s="85"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26" customHeight="1" s="50">
      <c r="A21" s="73" t="inlineStr">
        <is>
          <t>Ref</t>
        </is>
      </c>
      <c r="B21" s="73" t="inlineStr">
        <is>
          <t>Evidence file (repository location)</t>
        </is>
      </c>
      <c r="C21" s="73" t="inlineStr">
        <is>
          <t>Date / owner / operator</t>
        </is>
      </c>
      <c r="D21" s="73" t="inlineStr">
        <is>
          <t>Applications tested (source rows)</t>
        </is>
      </c>
      <c r="E21" s="73" t="inlineStr">
        <is>
          <t>Content reviewed</t>
        </is>
      </c>
      <c r="F21" s="73" t="inlineStr">
        <is>
          <t>Conclusion / samples supported</t>
        </is>
      </c>
      <c r="G21" s="73" t="inlineStr">
        <is>
          <t>Control Sample Assessment Result (Pass/Fail)</t>
        </is>
      </c>
      <c r="H21" s="67" t="n"/>
      <c r="X21" s="85" t="n"/>
      <c r="Y21" s="85" t="n"/>
      <c r="Z21" s="85" t="n"/>
      <c r="AA21" s="85"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ht="174" customHeight="1" s="50">
      <c r="A22" s="78" t="inlineStr">
        <is>
          <t>E03</t>
        </is>
      </c>
      <c r="B22"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2" s="76" t="inlineStr">
        <is>
          <t>BCiC: Data Integrity Validation Testing (62 records)</t>
        </is>
      </c>
      <c r="D22"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2" s="76" t="inlineStr">
        <is>
          <t>BCiC DIV export incl. Business Tester, Business Data Validation Date, Department Manager, Department Manager Approval Date, Y/N Format/Headers/Content, Attestation Date / Provided By. Row numbers quoted are Excel rows.
Checked for Business line manager name:
'Department Manager' column</t>
        </is>
      </c>
      <c r="F22" s="76" t="inlineStr">
        <is>
          <t>Supports Business line manager name (column G), samples 1822, 1867, 1868, 3299, 4052, 3301, 1903, 1917, 1936, 1937</t>
        </is>
      </c>
      <c r="G22" s="77" t="inlineStr">
        <is>
          <t>PASS</t>
        </is>
      </c>
      <c r="H22" s="70" t="n"/>
      <c r="I22" s="70" t="n"/>
      <c r="J22" s="70" t="n"/>
      <c r="K22" s="70" t="n"/>
      <c r="L22" s="70" t="n"/>
      <c r="M22" s="70" t="n"/>
      <c r="N22" s="70" t="n"/>
      <c r="O22" s="70" t="n"/>
      <c r="P22" s="70" t="n"/>
      <c r="Q22" s="70" t="n"/>
      <c r="R22" s="70" t="n"/>
      <c r="S22" s="70" t="n"/>
      <c r="T22" s="70" t="n"/>
      <c r="U22" s="69" t="n"/>
      <c r="V22" s="86" t="n"/>
      <c r="W22" s="87" t="n"/>
      <c r="X22" s="85" t="n"/>
      <c r="Y22" s="85" t="n"/>
      <c r="Z22" s="85" t="n"/>
      <c r="AA22" s="85"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c r="A23" s="74" t="n"/>
      <c r="B23" s="74" t="n"/>
      <c r="C23" s="74" t="n"/>
      <c r="D23" s="74" t="n"/>
      <c r="E23" s="74" t="n"/>
      <c r="F23" s="74" t="n"/>
      <c r="G23" s="74" t="n"/>
      <c r="H23" s="68" t="n"/>
      <c r="I23" s="68" t="n"/>
      <c r="J23" s="68" t="n"/>
      <c r="K23" s="68" t="n"/>
      <c r="L23" s="68" t="n"/>
      <c r="M23" s="68" t="n"/>
      <c r="N23" s="68" t="n"/>
      <c r="O23" s="68" t="n"/>
      <c r="P23" s="68" t="n"/>
      <c r="Q23" s="68" t="n"/>
      <c r="R23" s="68" t="n"/>
      <c r="S23" s="68" t="n"/>
      <c r="T23" s="68" t="n"/>
      <c r="U23" s="68" t="n"/>
      <c r="V23" s="68" t="n"/>
      <c r="W23" s="85" t="n"/>
      <c r="X23" s="85" t="n"/>
      <c r="Y23" s="85" t="n"/>
      <c r="Z23" s="85" t="n"/>
      <c r="AA23" s="85"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15.5" customHeight="1" s="50">
      <c r="A24" s="71" t="inlineStr">
        <is>
          <t>7. Business line manager approval dates (column H): review of evidence files and results</t>
        </is>
      </c>
      <c r="B24" s="97" t="n"/>
      <c r="C24" s="97" t="n"/>
      <c r="D24" s="97" t="n"/>
      <c r="E24" s="97" t="n"/>
      <c r="F24" s="97" t="n"/>
      <c r="G24" s="98" t="n"/>
      <c r="H24" s="68" t="n"/>
      <c r="I24" s="68" t="n"/>
      <c r="J24" s="68" t="n"/>
      <c r="K24" s="68" t="n"/>
      <c r="L24" s="68" t="n"/>
      <c r="M24" s="68" t="n"/>
      <c r="N24" s="68" t="n"/>
      <c r="O24" s="68" t="n"/>
      <c r="P24" s="68" t="n"/>
      <c r="Q24" s="68" t="n"/>
      <c r="R24" s="68" t="n"/>
      <c r="S24" s="68" t="n"/>
      <c r="T24" s="68" t="n"/>
      <c r="U24" s="68" t="n"/>
      <c r="V24" s="68" t="n"/>
      <c r="W24" s="85" t="n"/>
      <c r="X24" s="85" t="n"/>
      <c r="Y24" s="85" t="n"/>
      <c r="Z24" s="85" t="n"/>
      <c r="AA24" s="85"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26" customHeight="1" s="50">
      <c r="A25" s="73" t="inlineStr">
        <is>
          <t>Ref</t>
        </is>
      </c>
      <c r="B25" s="73" t="inlineStr">
        <is>
          <t>Evidence file (repository location)</t>
        </is>
      </c>
      <c r="C25" s="73" t="inlineStr">
        <is>
          <t>Date / owner / operator</t>
        </is>
      </c>
      <c r="D25" s="73" t="inlineStr">
        <is>
          <t>Applications tested (source rows)</t>
        </is>
      </c>
      <c r="E25" s="73" t="inlineStr">
        <is>
          <t>Content reviewed</t>
        </is>
      </c>
      <c r="F25" s="73" t="inlineStr">
        <is>
          <t>Conclusion / samples supported</t>
        </is>
      </c>
      <c r="G25" s="73" t="inlineStr">
        <is>
          <t>Control Sample Assessment Result (Pass/Fail)</t>
        </is>
      </c>
      <c r="H25" s="67" t="n"/>
      <c r="X25" s="85" t="n"/>
      <c r="Y25" s="85" t="n"/>
      <c r="Z25" s="85" t="n"/>
      <c r="AA25" s="85"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ht="174" customHeight="1" s="50">
      <c r="A26" s="78" t="inlineStr">
        <is>
          <t>E03</t>
        </is>
      </c>
      <c r="B26"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6" s="76" t="inlineStr">
        <is>
          <t>BCiC: Data Integrity Validation Testing (62 records)</t>
        </is>
      </c>
      <c r="D26"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6" s="76" t="inlineStr">
        <is>
          <t>BCiC DIV export incl. Business Tester, Business Data Validation Date, Department Manager, Department Manager Approval Date, Y/N Format/Headers/Content, Attestation Date / Provided By. Row numbers quoted are Excel rows.
Checked for Business line manager approval dates:
'Department Manager Approval Date' and 'Attestation Date' columns</t>
        </is>
      </c>
      <c r="F26" s="76" t="inlineStr">
        <is>
          <t>Supports Business line manager approval dates (column H), samples 1822, 1867, 1868, 3299, 4052, 3301, 1903, 1917, 1936, 1937</t>
        </is>
      </c>
      <c r="G26" s="77" t="inlineStr">
        <is>
          <t>PASS</t>
        </is>
      </c>
      <c r="H26" s="70" t="n"/>
      <c r="I26" s="70" t="n"/>
      <c r="J26" s="70" t="n"/>
      <c r="K26" s="70" t="n"/>
      <c r="L26" s="70" t="n"/>
      <c r="M26" s="70" t="n"/>
      <c r="N26" s="70" t="n"/>
      <c r="O26" s="70" t="n"/>
      <c r="P26" s="70" t="n"/>
      <c r="Q26" s="70" t="n"/>
      <c r="R26" s="70" t="n"/>
      <c r="S26" s="70" t="n"/>
      <c r="T26" s="70" t="n"/>
      <c r="U26" s="69" t="n"/>
      <c r="V26" s="86" t="n"/>
      <c r="W26" s="87" t="n"/>
      <c r="X26" s="85" t="n"/>
      <c r="Y26" s="85" t="n"/>
      <c r="Z26" s="85" t="n"/>
      <c r="AA26" s="85"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c r="A27" s="74" t="n"/>
      <c r="B27" s="74" t="n"/>
      <c r="C27" s="74" t="n"/>
      <c r="D27" s="74" t="n"/>
      <c r="E27" s="74" t="n"/>
      <c r="F27" s="74" t="n"/>
      <c r="G27" s="74" t="n"/>
      <c r="H27" s="68" t="n"/>
      <c r="I27" s="68" t="n"/>
      <c r="J27" s="68" t="n"/>
      <c r="K27" s="68" t="n"/>
      <c r="L27" s="68" t="n"/>
      <c r="M27" s="68" t="n"/>
      <c r="N27" s="68" t="n"/>
      <c r="O27" s="68" t="n"/>
      <c r="P27" s="68" t="n"/>
      <c r="Q27" s="68" t="n"/>
      <c r="R27" s="68" t="n"/>
      <c r="S27" s="68" t="n"/>
      <c r="T27" s="68" t="n"/>
      <c r="U27" s="68" t="n"/>
      <c r="V27" s="68" t="n"/>
      <c r="W27" s="85" t="n"/>
      <c r="X27" s="85" t="n"/>
      <c r="Y27" s="85" t="n"/>
      <c r="Z27" s="85" t="n"/>
      <c r="AA27" s="85"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15.5" customHeight="1" s="50">
      <c r="A28" s="71" t="inlineStr">
        <is>
          <t>8. DIV Test procedures listed within the Test results document (column I): review of evidence files and results</t>
        </is>
      </c>
      <c r="B28" s="97" t="n"/>
      <c r="C28" s="97" t="n"/>
      <c r="D28" s="97" t="n"/>
      <c r="E28" s="97" t="n"/>
      <c r="F28" s="97" t="n"/>
      <c r="G28" s="98" t="n"/>
      <c r="H28" s="68" t="n"/>
      <c r="I28" s="68" t="n"/>
      <c r="J28" s="68" t="n"/>
      <c r="K28" s="68" t="n"/>
      <c r="L28" s="68" t="n"/>
      <c r="M28" s="68" t="n"/>
      <c r="N28" s="68" t="n"/>
      <c r="O28" s="68" t="n"/>
      <c r="P28" s="68" t="n"/>
      <c r="Q28" s="68" t="n"/>
      <c r="R28" s="68" t="n"/>
      <c r="S28" s="68" t="n"/>
      <c r="T28" s="68" t="n"/>
      <c r="U28" s="68" t="n"/>
      <c r="V28" s="68" t="n"/>
      <c r="W28" s="85" t="n"/>
      <c r="X28" s="85" t="n"/>
      <c r="Y28" s="85" t="n"/>
      <c r="Z28" s="85" t="n"/>
      <c r="AA28" s="85"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26" customHeight="1" s="50">
      <c r="A29" s="73" t="inlineStr">
        <is>
          <t>Ref</t>
        </is>
      </c>
      <c r="B29" s="73" t="inlineStr">
        <is>
          <t>Evidence file (repository location)</t>
        </is>
      </c>
      <c r="C29" s="73" t="inlineStr">
        <is>
          <t>Date / owner / operator</t>
        </is>
      </c>
      <c r="D29" s="73" t="inlineStr">
        <is>
          <t>Applications tested (source rows)</t>
        </is>
      </c>
      <c r="E29" s="73" t="inlineStr">
        <is>
          <t>Content reviewed</t>
        </is>
      </c>
      <c r="F29" s="73" t="inlineStr">
        <is>
          <t>Conclusion / samples supported</t>
        </is>
      </c>
      <c r="G29" s="73" t="inlineStr">
        <is>
          <t>Control Sample Assessment Result (Pass/Fail)</t>
        </is>
      </c>
      <c r="H29" s="67" t="n"/>
      <c r="O29" s="68" t="n"/>
      <c r="P29" s="68" t="n"/>
      <c r="Q29" s="68" t="n"/>
      <c r="R29" s="68" t="n"/>
      <c r="S29" s="68" t="n"/>
      <c r="T29" s="68" t="n"/>
      <c r="U29" s="68" t="n"/>
      <c r="V29" s="68" t="n"/>
      <c r="W29" s="85" t="n"/>
      <c r="X29" s="85" t="n"/>
      <c r="Y29" s="85" t="n"/>
      <c r="Z29" s="85" t="n"/>
      <c r="AA29" s="85"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ht="174" customHeight="1" s="50">
      <c r="A30" s="78" t="inlineStr">
        <is>
          <t>E03</t>
        </is>
      </c>
      <c r="B30"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0" s="76" t="inlineStr">
        <is>
          <t>BCiC: Data Integrity Validation Testing (62 records)</t>
        </is>
      </c>
      <c r="D30"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0" s="76"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'Data Integrity Validation Procedures' column</t>
        </is>
      </c>
      <c r="F30" s="76" t="inlineStr">
        <is>
          <t>Supports DIV Test procedures listed within the Test results document (column I), samples 1822, 1867, 1868, 3299, 4052, 3301, 1903, 1917, 1936, 1937</t>
        </is>
      </c>
      <c r="G30" s="77" t="inlineStr">
        <is>
          <t>PASS</t>
        </is>
      </c>
      <c r="H30" s="70" t="n"/>
      <c r="I30" s="70" t="n"/>
      <c r="J30" s="70" t="n"/>
      <c r="K30" s="70" t="n"/>
      <c r="L30" s="70" t="n"/>
      <c r="M30" s="69" t="n"/>
      <c r="N30" s="70" t="n"/>
      <c r="O30" s="68" t="n"/>
      <c r="P30" s="68" t="n"/>
      <c r="Q30" s="68" t="n"/>
      <c r="R30" s="68" t="n"/>
      <c r="S30" s="68" t="n"/>
      <c r="T30" s="68" t="n"/>
      <c r="U30" s="68" t="n"/>
      <c r="V30" s="68" t="n"/>
      <c r="W30" s="85" t="n"/>
      <c r="X30" s="85" t="n"/>
      <c r="Y30" s="85" t="n"/>
      <c r="Z30" s="85" t="n"/>
      <c r="AA30" s="85"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c r="A31" s="74" t="n"/>
      <c r="B31" s="74" t="n"/>
      <c r="C31" s="74" t="n"/>
      <c r="D31" s="74" t="n"/>
      <c r="E31" s="74" t="n"/>
      <c r="F31" s="74" t="n"/>
      <c r="G31" s="74" t="n"/>
      <c r="H31" s="68" t="n"/>
      <c r="I31" s="68" t="n"/>
      <c r="J31" s="68" t="n"/>
      <c r="K31" s="68" t="n"/>
      <c r="L31" s="68" t="n"/>
      <c r="M31" s="68" t="n"/>
      <c r="N31" s="68" t="n"/>
      <c r="O31" s="68" t="n"/>
      <c r="P31" s="68" t="n"/>
      <c r="Q31" s="68" t="n"/>
      <c r="R31" s="68" t="n"/>
      <c r="S31" s="68" t="n"/>
      <c r="T31" s="68" t="n"/>
      <c r="U31" s="68" t="n"/>
      <c r="V31" s="68" t="n"/>
      <c r="W31" s="85" t="n"/>
      <c r="X31" s="85" t="n"/>
      <c r="Y31" s="85" t="n"/>
      <c r="Z31" s="85" t="n"/>
      <c r="AA31" s="85"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15.5" customHeight="1" s="50">
      <c r="A32" s="71" t="inlineStr">
        <is>
          <t>9. Emails showing Business line manager approval of DIV testing results (column J): review of evidence files and results</t>
        </is>
      </c>
      <c r="B32" s="97" t="n"/>
      <c r="C32" s="97" t="n"/>
      <c r="D32" s="97" t="n"/>
      <c r="E32" s="97" t="n"/>
      <c r="F32" s="97" t="n"/>
      <c r="G32" s="98" t="n"/>
      <c r="H32" s="68" t="n"/>
      <c r="I32" s="68" t="n"/>
      <c r="J32" s="68" t="n"/>
      <c r="K32" s="68" t="n"/>
      <c r="L32" s="68" t="n"/>
      <c r="M32" s="68" t="n"/>
      <c r="N32" s="68" t="n"/>
      <c r="O32" s="68" t="n"/>
      <c r="P32" s="68" t="n"/>
      <c r="Q32" s="68" t="n"/>
      <c r="R32" s="68" t="n"/>
      <c r="S32" s="68" t="n"/>
      <c r="T32" s="68" t="n"/>
      <c r="U32" s="68" t="n"/>
      <c r="V32" s="68" t="n"/>
      <c r="W32" s="85" t="n"/>
      <c r="X32" s="85" t="n"/>
      <c r="Y32" s="85" t="n"/>
      <c r="Z32" s="85" t="n"/>
      <c r="AA32" s="85"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26" customHeight="1" s="50">
      <c r="A33" s="73" t="inlineStr">
        <is>
          <t>Ref</t>
        </is>
      </c>
      <c r="B33" s="73" t="inlineStr">
        <is>
          <t>Evidence file (repository location)</t>
        </is>
      </c>
      <c r="C33" s="73" t="inlineStr">
        <is>
          <t>Date / owner / operator</t>
        </is>
      </c>
      <c r="D33" s="73" t="inlineStr">
        <is>
          <t>Applications tested (source rows)</t>
        </is>
      </c>
      <c r="E33" s="73" t="inlineStr">
        <is>
          <t>Content reviewed</t>
        </is>
      </c>
      <c r="F33" s="73" t="inlineStr">
        <is>
          <t>Conclusion / samples supported</t>
        </is>
      </c>
      <c r="G33" s="73" t="inlineStr">
        <is>
          <t>Control Sample Assessment Result (Pass/Fail)</t>
        </is>
      </c>
      <c r="H33" s="67" t="n"/>
      <c r="V33" s="68" t="n"/>
      <c r="W33" s="85" t="n"/>
      <c r="X33" s="85" t="n"/>
      <c r="Y33" s="85" t="n"/>
      <c r="Z33" s="85" t="n"/>
      <c r="AA33" s="85"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row r="34" ht="90" customHeight="1" s="50">
      <c r="A34" s="78" t="inlineStr">
        <is>
          <t>BLA06</t>
        </is>
      </c>
      <c r="B34"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34" s="76" t="inlineStr">
        <is>
          <t>12/31/2025 &amp; 01/26/2026, Sadis Alvarenga</t>
        </is>
      </c>
      <c r="D34" s="76" t="inlineStr">
        <is>
          <t>1917 ReconXpert
1937 T24</t>
        </is>
      </c>
      <c r="E34"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34" s="76" t="inlineStr">
        <is>
          <t>Supports Emails showing Business line manager approval of DIV testing results (column J), samples 1917, 1937</t>
        </is>
      </c>
      <c r="G34" s="77" t="inlineStr">
        <is>
          <t>PASS</t>
        </is>
      </c>
      <c r="H34" s="69" t="n"/>
      <c r="I34" s="69" t="n"/>
      <c r="J34" s="69" t="n"/>
      <c r="K34" s="69" t="n"/>
      <c r="L34" s="69" t="n"/>
      <c r="M34" s="70" t="n"/>
      <c r="N34" s="70" t="n"/>
      <c r="O34" s="70" t="n"/>
      <c r="P34" s="70" t="n"/>
      <c r="Q34" s="70" t="n"/>
      <c r="R34" s="70" t="n"/>
      <c r="S34" s="70" t="n"/>
      <c r="T34" s="70" t="n"/>
      <c r="U34" s="70" t="n"/>
      <c r="V34" s="68" t="n"/>
      <c r="W34" s="85" t="n"/>
      <c r="X34" s="85" t="n"/>
      <c r="Y34" s="85" t="n"/>
      <c r="Z34" s="85" t="n"/>
      <c r="AA34" s="85" t="n"/>
      <c r="AB34" s="85" t="n"/>
      <c r="AC34" s="85" t="n"/>
      <c r="AD34" s="85" t="n"/>
      <c r="AE34" s="85" t="n"/>
      <c r="AF34" s="85" t="n"/>
      <c r="AG34" s="85" t="n"/>
      <c r="AH34" s="85" t="n"/>
      <c r="AI34" s="85" t="n"/>
      <c r="AJ34" s="85" t="n"/>
      <c r="AK34" s="85" t="n"/>
      <c r="AL34" s="85" t="n"/>
      <c r="AM34" s="85" t="n"/>
      <c r="AN34" s="85" t="n"/>
      <c r="AO34" s="85" t="n"/>
      <c r="AP34" s="85" t="n"/>
      <c r="AQ34" s="85" t="n"/>
      <c r="AR34" s="85" t="n"/>
      <c r="AS34" s="85" t="n"/>
      <c r="AT34" s="85" t="n"/>
      <c r="AU34" s="85" t="n"/>
      <c r="AV34" s="85" t="n"/>
      <c r="AW34" s="85" t="n"/>
      <c r="AX34" s="85" t="n"/>
      <c r="AY34" s="85" t="n"/>
    </row>
    <row r="35" ht="90" customHeight="1" s="50">
      <c r="A35" s="78" t="inlineStr">
        <is>
          <t>DMA01</t>
        </is>
      </c>
      <c r="B35"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35" s="76" t="inlineStr">
        <is>
          <t>08/18/2026, Claudia Romero</t>
        </is>
      </c>
      <c r="D35" s="76" t="inlineStr">
        <is>
          <t>1822 ACH Express
1867 FedExport - BSI
1868 FedImport - BSI
3299 Imaging101
1937 T24</t>
        </is>
      </c>
      <c r="E35"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35" s="76" t="inlineStr">
        <is>
          <t>Supports Emails showing Business line manager approval of DIV testing results (column J), samples 1822, 1867, 1868, 3299, 1937</t>
        </is>
      </c>
      <c r="G35" s="77" t="inlineStr">
        <is>
          <t>PASS</t>
        </is>
      </c>
      <c r="H35" s="68" t="n"/>
      <c r="I35" s="68" t="n"/>
      <c r="J35" s="68" t="n"/>
      <c r="K35" s="68" t="n"/>
      <c r="L35" s="68" t="n"/>
      <c r="M35" s="68" t="n"/>
      <c r="N35" s="68" t="n"/>
      <c r="O35" s="68" t="n"/>
      <c r="P35" s="68" t="n"/>
      <c r="Q35" s="68" t="n"/>
      <c r="R35" s="68" t="n"/>
      <c r="S35" s="68" t="n"/>
      <c r="T35" s="68" t="n"/>
      <c r="U35" s="68" t="n"/>
      <c r="V35" s="68" t="n"/>
      <c r="W35" s="85" t="n"/>
      <c r="X35" s="85" t="n"/>
      <c r="Y35" s="85" t="n"/>
      <c r="Z35" s="85" t="n"/>
      <c r="AA35" s="85" t="n"/>
      <c r="AB35" s="85" t="n"/>
      <c r="AC35" s="85" t="n"/>
      <c r="AD35" s="85" t="n"/>
      <c r="AE35" s="85" t="n"/>
      <c r="AF35" s="85" t="n"/>
      <c r="AG35" s="85" t="n"/>
      <c r="AH35" s="85" t="n"/>
      <c r="AI35" s="85" t="n"/>
      <c r="AJ35" s="85" t="n"/>
      <c r="AK35" s="85" t="n"/>
      <c r="AL35" s="85" t="n"/>
      <c r="AM35" s="85" t="n"/>
      <c r="AN35" s="85" t="n"/>
      <c r="AO35" s="85" t="n"/>
      <c r="AP35" s="85" t="n"/>
      <c r="AQ35" s="85" t="n"/>
      <c r="AR35" s="85" t="n"/>
      <c r="AS35" s="85" t="n"/>
      <c r="AT35" s="85" t="n"/>
      <c r="AU35" s="85" t="n"/>
      <c r="AV35" s="85" t="n"/>
      <c r="AW35" s="85" t="n"/>
      <c r="AX35" s="85" t="n"/>
      <c r="AY35" s="85" t="n"/>
    </row>
    <row r="36" ht="148" customHeight="1" s="50">
      <c r="A36" s="78" t="inlineStr">
        <is>
          <t>DMA02</t>
        </is>
      </c>
      <c r="B36"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36" s="76" t="inlineStr">
        <is>
          <t>08/19/2026, David Marquez</t>
        </is>
      </c>
      <c r="D36" s="76" t="inlineStr">
        <is>
          <t>3299 Imaging101
1903 OFAC - BSI
1936 Swift Interface - BSI
1937 T24</t>
        </is>
      </c>
      <c r="E36"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
Checked for Emails showing Business line manager approval of DIV testing results:
Application / record agreed to the evidence.</t>
        </is>
      </c>
      <c r="F36" s="76" t="inlineStr">
        <is>
          <t>Supports Emails showing Business line manager approval of DIV testing results (column J), samples 3299, 1903, 1936, 1937</t>
        </is>
      </c>
      <c r="G36" s="77" t="inlineStr">
        <is>
          <t>PASS</t>
        </is>
      </c>
      <c r="H36" s="68" t="n"/>
      <c r="I36" s="68" t="n"/>
      <c r="J36" s="68" t="n"/>
      <c r="K36" s="68" t="n"/>
      <c r="L36" s="68" t="n"/>
      <c r="M36" s="68" t="n"/>
      <c r="N36" s="68" t="n"/>
      <c r="O36" s="68" t="n"/>
      <c r="P36" s="68" t="n"/>
      <c r="Q36" s="68" t="n"/>
      <c r="R36" s="68" t="n"/>
      <c r="S36" s="68" t="n"/>
      <c r="T36" s="68" t="n"/>
      <c r="U36" s="68" t="n"/>
      <c r="V36" s="68" t="n"/>
      <c r="W36" s="85" t="n"/>
      <c r="X36" s="85" t="n"/>
      <c r="Y36" s="85" t="n"/>
      <c r="Z36" s="85" t="n"/>
      <c r="AA36" s="85" t="n"/>
      <c r="AB36" s="85" t="n"/>
      <c r="AC36" s="85" t="n"/>
      <c r="AD36" s="85" t="n"/>
      <c r="AE36" s="85" t="n"/>
      <c r="AF36" s="85" t="n"/>
      <c r="AG36" s="85" t="n"/>
      <c r="AH36" s="85" t="n"/>
      <c r="AI36" s="85" t="n"/>
      <c r="AJ36" s="85" t="n"/>
      <c r="AK36" s="85" t="n"/>
      <c r="AL36" s="85" t="n"/>
      <c r="AM36" s="85" t="n"/>
      <c r="AN36" s="85" t="n"/>
      <c r="AO36" s="85" t="n"/>
      <c r="AP36" s="85" t="n"/>
      <c r="AQ36" s="85" t="n"/>
      <c r="AR36" s="85" t="n"/>
      <c r="AS36" s="85" t="n"/>
      <c r="AT36" s="85" t="n"/>
      <c r="AU36" s="85" t="n"/>
      <c r="AV36" s="85" t="n"/>
      <c r="AW36" s="85" t="n"/>
      <c r="AX36" s="85" t="n"/>
      <c r="AY36" s="85" t="n"/>
    </row>
    <row r="37" ht="90" customHeight="1" s="50">
      <c r="A37" s="78" t="inlineStr">
        <is>
          <t>DMA03</t>
        </is>
      </c>
      <c r="B37"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37" s="76" t="inlineStr">
        <is>
          <t>08/18/2026, Frank Puentes</t>
        </is>
      </c>
      <c r="D37" s="76" t="inlineStr">
        <is>
          <t>3301 MQ Payment Monitor
1903 OFAC - BSI
1937 T24</t>
        </is>
      </c>
      <c r="E37"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37" s="76" t="inlineStr">
        <is>
          <t>Supports Emails showing Business line manager approval of DIV testing results (column J), samples 3301, 1903, 1937</t>
        </is>
      </c>
      <c r="G37" s="77" t="inlineStr">
        <is>
          <t>PASS</t>
        </is>
      </c>
      <c r="H37" s="68" t="n"/>
      <c r="I37" s="68" t="n"/>
      <c r="J37" s="68" t="n"/>
      <c r="K37" s="68" t="n"/>
      <c r="L37" s="68" t="n"/>
      <c r="M37" s="68" t="n"/>
      <c r="N37" s="68" t="n"/>
      <c r="O37" s="68" t="n"/>
      <c r="P37" s="68" t="n"/>
      <c r="Q37" s="68" t="n"/>
      <c r="R37" s="68" t="n"/>
      <c r="S37" s="68" t="n"/>
      <c r="T37" s="68" t="n"/>
      <c r="U37" s="68" t="n"/>
      <c r="V37" s="68" t="n"/>
      <c r="W37" s="85" t="n"/>
      <c r="X37" s="85" t="n"/>
      <c r="Y37" s="85" t="n"/>
      <c r="Z37" s="85" t="n"/>
      <c r="AA37" s="85" t="n"/>
      <c r="AB37" s="85" t="n"/>
      <c r="AC37" s="85" t="n"/>
      <c r="AD37" s="85" t="n"/>
      <c r="AE37" s="85" t="n"/>
      <c r="AF37" s="85" t="n"/>
      <c r="AG37" s="85" t="n"/>
      <c r="AH37" s="85" t="n"/>
      <c r="AI37" s="85" t="n"/>
      <c r="AJ37" s="85" t="n"/>
      <c r="AK37" s="85" t="n"/>
      <c r="AL37" s="85" t="n"/>
      <c r="AM37" s="85" t="n"/>
      <c r="AN37" s="85" t="n"/>
      <c r="AO37" s="85" t="n"/>
      <c r="AP37" s="85" t="n"/>
      <c r="AQ37" s="85" t="n"/>
      <c r="AR37" s="85" t="n"/>
      <c r="AS37" s="85" t="n"/>
      <c r="AT37" s="85" t="n"/>
      <c r="AU37" s="85" t="n"/>
      <c r="AV37" s="85" t="n"/>
      <c r="AW37" s="85" t="n"/>
      <c r="AX37" s="85" t="n"/>
      <c r="AY37" s="85" t="n"/>
    </row>
    <row r="38" ht="100" customHeight="1" s="50">
      <c r="A38" s="78" t="inlineStr">
        <is>
          <t>DMA04</t>
        </is>
      </c>
      <c r="B38"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38" s="76" t="inlineStr">
        <is>
          <t>08/17/2026, Michelle Oropesa</t>
        </is>
      </c>
      <c r="D38" s="76" t="inlineStr">
        <is>
          <t>4052 Interface Monitor
1936 Swift Interface - BSI
1937 T24</t>
        </is>
      </c>
      <c r="E38"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38" s="76" t="inlineStr">
        <is>
          <t>Supports Emails showing Business line manager approval of DIV testing results (column J), samples 4052, 1936, 1937</t>
        </is>
      </c>
      <c r="G38" s="77" t="inlineStr">
        <is>
          <t>PASS</t>
        </is>
      </c>
      <c r="H38" s="68" t="n"/>
      <c r="I38" s="68" t="n"/>
      <c r="J38" s="68" t="n"/>
      <c r="K38" s="68" t="n"/>
      <c r="L38" s="68" t="n"/>
      <c r="M38" s="68" t="n"/>
      <c r="N38" s="68" t="n"/>
      <c r="O38" s="68" t="n"/>
      <c r="P38" s="68" t="n"/>
      <c r="Q38" s="68" t="n"/>
      <c r="R38" s="68" t="n"/>
      <c r="S38" s="68" t="n"/>
      <c r="T38" s="68" t="n"/>
      <c r="U38" s="68" t="n"/>
      <c r="V38" s="68" t="n"/>
      <c r="W38" s="85" t="n"/>
      <c r="X38" s="85" t="n"/>
      <c r="Y38" s="85" t="n"/>
      <c r="Z38" s="85" t="n"/>
      <c r="AA38" s="85" t="n"/>
      <c r="AB38" s="85" t="n"/>
      <c r="AC38" s="85" t="n"/>
      <c r="AD38" s="85" t="n"/>
      <c r="AE38" s="85" t="n"/>
      <c r="AF38" s="85" t="n"/>
      <c r="AG38" s="85" t="n"/>
      <c r="AH38" s="85" t="n"/>
      <c r="AI38" s="85" t="n"/>
      <c r="AJ38" s="85" t="n"/>
      <c r="AK38" s="85" t="n"/>
      <c r="AL38" s="85" t="n"/>
      <c r="AM38" s="85" t="n"/>
      <c r="AN38" s="85" t="n"/>
      <c r="AO38" s="85" t="n"/>
      <c r="AP38" s="85" t="n"/>
      <c r="AQ38" s="85" t="n"/>
      <c r="AR38" s="85" t="n"/>
      <c r="AS38" s="85" t="n"/>
      <c r="AT38" s="85" t="n"/>
      <c r="AU38" s="85" t="n"/>
      <c r="AV38" s="85" t="n"/>
      <c r="AW38" s="85" t="n"/>
      <c r="AX38" s="85" t="n"/>
      <c r="AY38" s="85" t="n"/>
    </row>
    <row r="39">
      <c r="A39" s="74" t="n"/>
      <c r="B39" s="74" t="n"/>
      <c r="C39" s="74" t="n"/>
      <c r="D39" s="74" t="n"/>
      <c r="E39" s="74" t="n"/>
      <c r="F39" s="74" t="n"/>
      <c r="G39" s="74" t="n"/>
      <c r="H39" s="68" t="n"/>
      <c r="I39" s="68" t="n"/>
      <c r="J39" s="68" t="n"/>
      <c r="K39" s="68" t="n"/>
      <c r="L39" s="68" t="n"/>
      <c r="M39" s="68" t="n"/>
      <c r="N39" s="68" t="n"/>
      <c r="O39" s="68" t="n"/>
      <c r="P39" s="68" t="n"/>
      <c r="Q39" s="68" t="n"/>
      <c r="R39" s="68" t="n"/>
      <c r="S39" s="68" t="n"/>
      <c r="T39" s="68" t="n"/>
      <c r="U39" s="68" t="n"/>
      <c r="V39" s="68" t="n"/>
      <c r="W39" s="85" t="n"/>
      <c r="X39" s="85" t="n"/>
      <c r="Y39" s="85" t="n"/>
      <c r="Z39" s="85" t="n"/>
      <c r="AA39" s="85" t="n"/>
      <c r="AB39" s="85" t="n"/>
      <c r="AC39" s="85" t="n"/>
      <c r="AD39" s="85" t="n"/>
      <c r="AE39" s="85" t="n"/>
      <c r="AF39" s="85" t="n"/>
      <c r="AG39" s="85" t="n"/>
      <c r="AH39" s="85" t="n"/>
      <c r="AI39" s="85" t="n"/>
      <c r="AJ39" s="85" t="n"/>
      <c r="AK39" s="85" t="n"/>
      <c r="AL39" s="85" t="n"/>
      <c r="AM39" s="85" t="n"/>
      <c r="AN39" s="85" t="n"/>
      <c r="AO39" s="85" t="n"/>
      <c r="AP39" s="85" t="n"/>
      <c r="AQ39" s="85" t="n"/>
      <c r="AR39" s="85" t="n"/>
      <c r="AS39" s="85" t="n"/>
      <c r="AT39" s="85" t="n"/>
      <c r="AU39" s="85" t="n"/>
      <c r="AV39" s="85" t="n"/>
      <c r="AW39" s="85" t="n"/>
      <c r="AX39" s="85" t="n"/>
      <c r="AY39" s="85" t="n"/>
    </row>
    <row r="40" ht="15.5" customHeight="1" s="50">
      <c r="A40" s="71" t="inlineStr">
        <is>
          <t>10. All evidence of Data Integrity DR test in BCIC (column K): review of evidence files and results</t>
        </is>
      </c>
      <c r="B40" s="97" t="n"/>
      <c r="C40" s="97" t="n"/>
      <c r="D40" s="97" t="n"/>
      <c r="E40" s="97" t="n"/>
      <c r="F40" s="97" t="n"/>
      <c r="G40" s="98" t="n"/>
      <c r="H40" s="68" t="n"/>
      <c r="I40" s="68" t="n"/>
      <c r="J40" s="68" t="n"/>
      <c r="K40" s="68" t="n"/>
      <c r="L40" s="68" t="n"/>
      <c r="M40" s="68" t="n"/>
      <c r="N40" s="68" t="n"/>
      <c r="O40" s="68" t="n"/>
      <c r="P40" s="68" t="n"/>
      <c r="Q40" s="68" t="n"/>
      <c r="R40" s="68" t="n"/>
      <c r="S40" s="68" t="n"/>
      <c r="T40" s="68" t="n"/>
      <c r="U40" s="68" t="n"/>
      <c r="V40" s="68" t="n"/>
      <c r="W40" s="85" t="n"/>
      <c r="X40" s="85" t="n"/>
      <c r="Y40" s="85" t="n"/>
      <c r="Z40" s="85" t="n"/>
      <c r="AA40" s="85" t="n"/>
      <c r="AB40" s="85" t="n"/>
      <c r="AC40" s="85" t="n"/>
      <c r="AD40" s="85" t="n"/>
      <c r="AE40" s="85" t="n"/>
      <c r="AF40" s="85" t="n"/>
      <c r="AG40" s="85" t="n"/>
      <c r="AH40" s="85" t="n"/>
      <c r="AI40" s="85" t="n"/>
      <c r="AJ40" s="85" t="n"/>
      <c r="AK40" s="85" t="n"/>
      <c r="AL40" s="85" t="n"/>
      <c r="AM40" s="85" t="n"/>
      <c r="AN40" s="85" t="n"/>
      <c r="AO40" s="85" t="n"/>
      <c r="AP40" s="85" t="n"/>
      <c r="AQ40" s="85" t="n"/>
      <c r="AR40" s="85" t="n"/>
      <c r="AS40" s="85" t="n"/>
      <c r="AT40" s="85" t="n"/>
      <c r="AU40" s="85" t="n"/>
      <c r="AV40" s="85" t="n"/>
      <c r="AW40" s="85" t="n"/>
      <c r="AX40" s="85" t="n"/>
      <c r="AY40" s="85" t="n"/>
    </row>
    <row r="41" ht="26" customHeight="1" s="50">
      <c r="A41" s="73" t="inlineStr">
        <is>
          <t>Ref</t>
        </is>
      </c>
      <c r="B41" s="73" t="inlineStr">
        <is>
          <t>Evidence file (repository location)</t>
        </is>
      </c>
      <c r="C41" s="73" t="inlineStr">
        <is>
          <t>Date / owner / operator</t>
        </is>
      </c>
      <c r="D41" s="73" t="inlineStr">
        <is>
          <t>Applications tested (source rows)</t>
        </is>
      </c>
      <c r="E41" s="73" t="inlineStr">
        <is>
          <t>Content reviewed</t>
        </is>
      </c>
      <c r="F41" s="73" t="inlineStr">
        <is>
          <t>Conclusion / samples supported</t>
        </is>
      </c>
      <c r="G41" s="73" t="inlineStr">
        <is>
          <t>Control Sample Assessment Result (Pass/Fail)</t>
        </is>
      </c>
      <c r="H41" s="67" t="n"/>
      <c r="N41" s="68" t="n"/>
      <c r="O41" s="68" t="n"/>
      <c r="P41" s="68" t="n"/>
      <c r="Q41" s="68" t="n"/>
      <c r="R41" s="68" t="n"/>
      <c r="S41" s="68" t="n"/>
      <c r="T41" s="68" t="n"/>
      <c r="U41" s="68" t="n"/>
      <c r="V41" s="68" t="n"/>
      <c r="W41" s="85" t="n"/>
      <c r="X41" s="85" t="n"/>
      <c r="Y41" s="85" t="n"/>
      <c r="Z41" s="85" t="n"/>
      <c r="AA41" s="85" t="n"/>
      <c r="AB41" s="85" t="n"/>
      <c r="AC41" s="85" t="n"/>
      <c r="AD41" s="85" t="n"/>
      <c r="AE41" s="85" t="n"/>
      <c r="AF41" s="85" t="n"/>
      <c r="AG41" s="85" t="n"/>
      <c r="AH41" s="85" t="n"/>
      <c r="AI41" s="85" t="n"/>
      <c r="AJ41" s="85" t="n"/>
      <c r="AK41" s="85" t="n"/>
      <c r="AL41" s="85" t="n"/>
      <c r="AM41" s="85" t="n"/>
      <c r="AN41" s="85" t="n"/>
      <c r="AO41" s="85" t="n"/>
      <c r="AP41" s="85" t="n"/>
      <c r="AQ41" s="85" t="n"/>
      <c r="AR41" s="85" t="n"/>
      <c r="AS41" s="85" t="n"/>
      <c r="AT41" s="85" t="n"/>
      <c r="AU41" s="85" t="n"/>
      <c r="AV41" s="85" t="n"/>
      <c r="AW41" s="85" t="n"/>
      <c r="AX41" s="85" t="n"/>
      <c r="AY41" s="85" t="n"/>
    </row>
    <row r="42" ht="174" customHeight="1" s="50">
      <c r="A42" s="78" t="inlineStr">
        <is>
          <t>E03</t>
        </is>
      </c>
      <c r="B42"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2" s="76" t="inlineStr">
        <is>
          <t>BCiC: Data Integrity Validation Testing (62 records)</t>
        </is>
      </c>
      <c r="D42"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2" s="76"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BCiC DIV export (tester, dates, manager, Y/N results, attestation)</t>
        </is>
      </c>
      <c r="F42" s="76" t="inlineStr">
        <is>
          <t>Supports All evidence of Data Integrity DR test in BCIC (column K), samples 1822, 1867, 1868, 3299, 4052, 3301, 1903, 1917, 1936, 1937</t>
        </is>
      </c>
      <c r="G42" s="77" t="inlineStr">
        <is>
          <t>PASS</t>
        </is>
      </c>
      <c r="H42" s="70" t="n"/>
      <c r="I42" s="70" t="n"/>
      <c r="J42" s="70" t="n"/>
      <c r="K42" s="69" t="n"/>
      <c r="L42" s="70" t="n"/>
      <c r="M42" s="70" t="n"/>
      <c r="N42" s="68" t="n"/>
      <c r="O42" s="68" t="n"/>
      <c r="P42" s="68" t="n"/>
      <c r="Q42" s="68" t="n"/>
      <c r="R42" s="68" t="n"/>
      <c r="S42" s="68" t="n"/>
      <c r="T42" s="68" t="n"/>
      <c r="U42" s="68" t="n"/>
      <c r="V42" s="68" t="n"/>
      <c r="W42" s="85" t="n"/>
      <c r="X42" s="85" t="n"/>
      <c r="Y42" s="85" t="n"/>
      <c r="Z42" s="85" t="n"/>
      <c r="AA42" s="85" t="n"/>
      <c r="AB42" s="85" t="n"/>
      <c r="AC42" s="85" t="n"/>
      <c r="AD42" s="85" t="n"/>
      <c r="AE42" s="85" t="n"/>
      <c r="AF42" s="85" t="n"/>
      <c r="AG42" s="85" t="n"/>
      <c r="AH42" s="85" t="n"/>
      <c r="AI42" s="85" t="n"/>
      <c r="AJ42" s="85" t="n"/>
      <c r="AK42" s="85" t="n"/>
      <c r="AL42" s="85" t="n"/>
      <c r="AM42" s="85" t="n"/>
      <c r="AN42" s="85" t="n"/>
      <c r="AO42" s="85" t="n"/>
      <c r="AP42" s="85" t="n"/>
      <c r="AQ42" s="85" t="n"/>
      <c r="AR42" s="85" t="n"/>
      <c r="AS42" s="85" t="n"/>
      <c r="AT42" s="85" t="n"/>
      <c r="AU42" s="85" t="n"/>
      <c r="AV42" s="85" t="n"/>
      <c r="AW42" s="85" t="n"/>
      <c r="AX42" s="85" t="n"/>
      <c r="AY42" s="85" t="n"/>
    </row>
    <row r="43">
      <c r="A43" s="74" t="n"/>
      <c r="B43" s="74" t="n"/>
      <c r="C43" s="74" t="n"/>
      <c r="D43" s="74" t="n"/>
      <c r="E43" s="74" t="n"/>
      <c r="F43" s="74" t="n"/>
      <c r="G43" s="74" t="n"/>
      <c r="H43" s="68" t="n"/>
      <c r="I43" s="68" t="n"/>
      <c r="J43" s="68" t="n"/>
      <c r="K43" s="68" t="n"/>
      <c r="L43" s="68" t="n"/>
      <c r="M43" s="68" t="n"/>
      <c r="N43" s="68" t="n"/>
      <c r="O43" s="68" t="n"/>
      <c r="P43" s="68" t="n"/>
      <c r="Q43" s="68" t="n"/>
      <c r="R43" s="68" t="n"/>
      <c r="S43" s="68" t="n"/>
      <c r="T43" s="68" t="n"/>
      <c r="U43" s="68" t="n"/>
      <c r="V43" s="68" t="n"/>
      <c r="W43" s="85" t="n"/>
      <c r="X43" s="85" t="n"/>
      <c r="Y43" s="85" t="n"/>
      <c r="Z43" s="85" t="n"/>
      <c r="AA43" s="85" t="n"/>
      <c r="AB43" s="85" t="n"/>
      <c r="AC43" s="85" t="n"/>
      <c r="AD43" s="85" t="n"/>
      <c r="AE43" s="85" t="n"/>
      <c r="AF43" s="85" t="n"/>
      <c r="AG43" s="85" t="n"/>
      <c r="AH43" s="85" t="n"/>
      <c r="AI43" s="85" t="n"/>
      <c r="AJ43" s="85" t="n"/>
      <c r="AK43" s="85" t="n"/>
      <c r="AL43" s="85" t="n"/>
      <c r="AM43" s="85" t="n"/>
      <c r="AN43" s="85" t="n"/>
      <c r="AO43" s="85" t="n"/>
      <c r="AP43" s="85" t="n"/>
      <c r="AQ43" s="85" t="n"/>
      <c r="AR43" s="85" t="n"/>
      <c r="AS43" s="85" t="n"/>
      <c r="AT43" s="85" t="n"/>
      <c r="AU43" s="85" t="n"/>
      <c r="AV43" s="85" t="n"/>
      <c r="AW43" s="85" t="n"/>
      <c r="AX43" s="85" t="n"/>
      <c r="AY43" s="85" t="n"/>
    </row>
    <row r="44" ht="15.5" customHeight="1" s="50">
      <c r="A44" s="71" t="inlineStr">
        <is>
          <t>11. Annual Testing Executed (column L): review of evidence files and results</t>
        </is>
      </c>
      <c r="B44" s="97" t="n"/>
      <c r="C44" s="97" t="n"/>
      <c r="D44" s="97" t="n"/>
      <c r="E44" s="97" t="n"/>
      <c r="F44" s="97" t="n"/>
      <c r="G44" s="98" t="n"/>
      <c r="H44" s="68" t="n"/>
      <c r="I44" s="68" t="n"/>
      <c r="J44" s="68" t="n"/>
      <c r="K44" s="68" t="n"/>
      <c r="L44" s="68" t="n"/>
      <c r="M44" s="68" t="n"/>
      <c r="N44" s="68" t="n"/>
      <c r="O44" s="68" t="n"/>
      <c r="P44" s="68" t="n"/>
      <c r="Q44" s="68" t="n"/>
      <c r="R44" s="68" t="n"/>
      <c r="S44" s="68" t="n"/>
      <c r="T44" s="68" t="n"/>
      <c r="U44" s="68" t="n"/>
      <c r="V44" s="68" t="n"/>
      <c r="W44" s="85" t="n"/>
      <c r="X44" s="85" t="n"/>
      <c r="Y44" s="85" t="n"/>
      <c r="Z44" s="85" t="n"/>
      <c r="AA44" s="85" t="n"/>
      <c r="AB44" s="85" t="n"/>
      <c r="AC44" s="85" t="n"/>
      <c r="AD44" s="85" t="n"/>
      <c r="AE44" s="85" t="n"/>
      <c r="AF44" s="85" t="n"/>
      <c r="AG44" s="85" t="n"/>
      <c r="AH44" s="85" t="n"/>
      <c r="AI44" s="85" t="n"/>
      <c r="AJ44" s="85" t="n"/>
      <c r="AK44" s="85" t="n"/>
      <c r="AL44" s="85" t="n"/>
      <c r="AM44" s="85" t="n"/>
      <c r="AN44" s="85" t="n"/>
      <c r="AO44" s="85" t="n"/>
      <c r="AP44" s="85" t="n"/>
      <c r="AQ44" s="85" t="n"/>
      <c r="AR44" s="85" t="n"/>
      <c r="AS44" s="85" t="n"/>
      <c r="AT44" s="85" t="n"/>
      <c r="AU44" s="85" t="n"/>
      <c r="AV44" s="85" t="n"/>
      <c r="AW44" s="85" t="n"/>
      <c r="AX44" s="85" t="n"/>
      <c r="AY44" s="85" t="n"/>
    </row>
    <row r="45" ht="26" customHeight="1" s="50">
      <c r="A45" s="73" t="inlineStr">
        <is>
          <t>Ref</t>
        </is>
      </c>
      <c r="B45" s="73" t="inlineStr">
        <is>
          <t>Evidence file (repository location)</t>
        </is>
      </c>
      <c r="C45" s="73" t="inlineStr">
        <is>
          <t>Date / owner / operator</t>
        </is>
      </c>
      <c r="D45" s="73" t="inlineStr">
        <is>
          <t>Applications tested (source rows)</t>
        </is>
      </c>
      <c r="E45" s="73" t="inlineStr">
        <is>
          <t>Content reviewed</t>
        </is>
      </c>
      <c r="F45" s="73" t="inlineStr">
        <is>
          <t>Conclusion / samples supported</t>
        </is>
      </c>
      <c r="G45" s="73" t="inlineStr">
        <is>
          <t>Control Sample Assessment Result (Pass/Fail)</t>
        </is>
      </c>
      <c r="H45" s="67" t="n"/>
      <c r="P45" s="68" t="n"/>
      <c r="Q45" s="68" t="n"/>
      <c r="R45" s="68" t="n"/>
      <c r="S45" s="68" t="n"/>
      <c r="T45" s="68" t="n"/>
      <c r="U45" s="68" t="n"/>
      <c r="V45" s="68" t="n"/>
      <c r="W45" s="85" t="n"/>
      <c r="X45" s="85" t="n"/>
      <c r="Y45" s="85" t="n"/>
      <c r="Z45" s="85" t="n"/>
      <c r="AA45" s="85" t="n"/>
      <c r="AB45" s="85" t="n"/>
      <c r="AC45" s="85" t="n"/>
      <c r="AD45" s="85" t="n"/>
      <c r="AE45" s="85" t="n"/>
      <c r="AF45" s="85" t="n"/>
      <c r="AG45" s="85" t="n"/>
      <c r="AH45" s="85" t="n"/>
      <c r="AI45" s="85" t="n"/>
      <c r="AJ45" s="85" t="n"/>
      <c r="AK45" s="85" t="n"/>
      <c r="AL45" s="85" t="n"/>
      <c r="AM45" s="85" t="n"/>
      <c r="AN45" s="85" t="n"/>
      <c r="AO45" s="85" t="n"/>
      <c r="AP45" s="85" t="n"/>
      <c r="AQ45" s="85" t="n"/>
      <c r="AR45" s="85" t="n"/>
      <c r="AS45" s="85" t="n"/>
      <c r="AT45" s="85" t="n"/>
      <c r="AU45" s="85" t="n"/>
      <c r="AV45" s="85" t="n"/>
      <c r="AW45" s="85" t="n"/>
      <c r="AX45" s="85" t="n"/>
      <c r="AY45" s="85" t="n"/>
    </row>
    <row r="46" ht="126" customHeight="1" s="50">
      <c r="A46" s="78" t="inlineStr">
        <is>
          <t>E01</t>
        </is>
      </c>
      <c r="B46"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46" s="76" t="inlineStr">
        <is>
          <t>BCiC: Applications In Scope for DR Test BSI</t>
        </is>
      </c>
      <c r="D46"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46" s="76"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46" s="76" t="inlineStr">
        <is>
          <t>Supports Annual Testing Executed (column L), samples 1822, 1867, 1868, 3299, 4052, 3301, 1903, 1917, 1936, 1937</t>
        </is>
      </c>
      <c r="G46" s="77" t="inlineStr">
        <is>
          <t>PASS</t>
        </is>
      </c>
      <c r="H46" s="70" t="n"/>
      <c r="I46" s="70" t="n"/>
      <c r="J46" s="70" t="n"/>
      <c r="K46" s="70" t="n"/>
      <c r="L46" s="70" t="n"/>
      <c r="M46" s="70" t="n"/>
      <c r="N46" s="69" t="n"/>
      <c r="O46" s="70" t="n"/>
      <c r="P46" s="68" t="n"/>
      <c r="Q46" s="68" t="n"/>
      <c r="R46" s="68" t="n"/>
      <c r="S46" s="68" t="n"/>
      <c r="T46" s="68" t="n"/>
      <c r="U46" s="68" t="n"/>
      <c r="V46" s="68" t="n"/>
      <c r="W46" s="85" t="n"/>
      <c r="X46" s="85" t="n"/>
      <c r="Y46" s="85" t="n"/>
      <c r="Z46" s="85" t="n"/>
      <c r="AA46" s="85" t="n"/>
      <c r="AB46" s="85" t="n"/>
      <c r="AC46" s="85" t="n"/>
      <c r="AD46" s="85" t="n"/>
      <c r="AE46" s="85" t="n"/>
      <c r="AF46" s="85" t="n"/>
      <c r="AG46" s="85" t="n"/>
      <c r="AH46" s="85" t="n"/>
      <c r="AI46" s="85" t="n"/>
      <c r="AJ46" s="85" t="n"/>
      <c r="AK46" s="85" t="n"/>
      <c r="AL46" s="85" t="n"/>
      <c r="AM46" s="85" t="n"/>
      <c r="AN46" s="85" t="n"/>
      <c r="AO46" s="85" t="n"/>
      <c r="AP46" s="85" t="n"/>
      <c r="AQ46" s="85" t="n"/>
      <c r="AR46" s="85" t="n"/>
      <c r="AS46" s="85" t="n"/>
      <c r="AT46" s="85" t="n"/>
      <c r="AU46" s="85" t="n"/>
      <c r="AV46" s="85" t="n"/>
      <c r="AW46" s="85" t="n"/>
      <c r="AX46" s="85" t="n"/>
      <c r="AY46" s="85" t="n"/>
    </row>
    <row r="47">
      <c r="A47" s="74" t="n"/>
      <c r="B47" s="74" t="n"/>
      <c r="C47" s="74" t="n"/>
      <c r="D47" s="74" t="n"/>
      <c r="E47" s="74" t="n"/>
      <c r="F47" s="74" t="n"/>
      <c r="G47" s="74" t="n"/>
      <c r="H47" s="68" t="n"/>
      <c r="I47" s="68" t="n"/>
      <c r="J47" s="68" t="n"/>
      <c r="K47" s="68" t="n"/>
      <c r="L47" s="68" t="n"/>
      <c r="M47" s="68" t="n"/>
      <c r="N47" s="68" t="n"/>
      <c r="O47" s="68" t="n"/>
      <c r="P47" s="68" t="n"/>
      <c r="Q47" s="68" t="n"/>
      <c r="R47" s="68" t="n"/>
      <c r="S47" s="68" t="n"/>
      <c r="T47" s="68" t="n"/>
      <c r="U47" s="68" t="n"/>
      <c r="V47" s="68" t="n"/>
      <c r="W47" s="85" t="n"/>
      <c r="X47" s="85" t="n"/>
      <c r="Y47" s="85" t="n"/>
      <c r="Z47" s="85" t="n"/>
      <c r="AA47" s="85" t="n"/>
      <c r="AB47" s="85" t="n"/>
      <c r="AC47" s="85" t="n"/>
      <c r="AD47" s="85" t="n"/>
      <c r="AE47" s="85" t="n"/>
      <c r="AF47" s="85" t="n"/>
      <c r="AG47" s="85" t="n"/>
      <c r="AH47" s="85" t="n"/>
      <c r="AI47" s="85" t="n"/>
      <c r="AJ47" s="85" t="n"/>
      <c r="AK47" s="85" t="n"/>
      <c r="AL47" s="85" t="n"/>
      <c r="AM47" s="85" t="n"/>
      <c r="AN47" s="85" t="n"/>
      <c r="AO47" s="85" t="n"/>
      <c r="AP47" s="85" t="n"/>
      <c r="AQ47" s="85" t="n"/>
      <c r="AR47" s="85" t="n"/>
      <c r="AS47" s="85" t="n"/>
      <c r="AT47" s="85" t="n"/>
      <c r="AU47" s="85" t="n"/>
      <c r="AV47" s="85" t="n"/>
      <c r="AW47" s="85" t="n"/>
      <c r="AX47" s="85" t="n"/>
      <c r="AY47" s="85" t="n"/>
    </row>
    <row r="48" ht="15.5" customHeight="1" s="50">
      <c r="A48" s="71" t="inlineStr">
        <is>
          <t>12. Data Integrity Validation Performed by IT DR Team (column M): review of evidence files and results</t>
        </is>
      </c>
      <c r="B48" s="97" t="n"/>
      <c r="C48" s="97" t="n"/>
      <c r="D48" s="97" t="n"/>
      <c r="E48" s="97" t="n"/>
      <c r="F48" s="97" t="n"/>
      <c r="G48" s="98" t="n"/>
      <c r="H48" s="68" t="n"/>
      <c r="I48" s="68" t="n"/>
      <c r="J48" s="68" t="n"/>
      <c r="K48" s="68" t="n"/>
      <c r="L48" s="68" t="n"/>
      <c r="M48" s="68" t="n"/>
      <c r="N48" s="68" t="n"/>
      <c r="O48" s="68" t="n"/>
      <c r="P48" s="68" t="n"/>
      <c r="Q48" s="68" t="n"/>
      <c r="R48" s="68" t="n"/>
      <c r="S48" s="68" t="n"/>
      <c r="T48" s="68" t="n"/>
      <c r="U48" s="68" t="n"/>
      <c r="V48" s="68" t="n"/>
      <c r="W48" s="85" t="n"/>
      <c r="X48" s="85" t="n"/>
      <c r="Y48" s="85" t="n"/>
      <c r="Z48" s="85" t="n"/>
      <c r="AA48" s="85" t="n"/>
      <c r="AB48" s="85" t="n"/>
      <c r="AC48" s="85" t="n"/>
      <c r="AD48" s="85" t="n"/>
      <c r="AE48" s="85" t="n"/>
      <c r="AF48" s="85" t="n"/>
      <c r="AG48" s="85" t="n"/>
      <c r="AH48" s="85" t="n"/>
      <c r="AI48" s="85" t="n"/>
      <c r="AJ48" s="85" t="n"/>
      <c r="AK48" s="85" t="n"/>
      <c r="AL48" s="85" t="n"/>
      <c r="AM48" s="85" t="n"/>
      <c r="AN48" s="85" t="n"/>
      <c r="AO48" s="85" t="n"/>
      <c r="AP48" s="85" t="n"/>
      <c r="AQ48" s="85" t="n"/>
      <c r="AR48" s="85" t="n"/>
      <c r="AS48" s="85" t="n"/>
      <c r="AT48" s="85" t="n"/>
      <c r="AU48" s="85" t="n"/>
      <c r="AV48" s="85" t="n"/>
      <c r="AW48" s="85" t="n"/>
      <c r="AX48" s="85" t="n"/>
      <c r="AY48" s="85" t="n"/>
    </row>
    <row r="49" ht="26" customHeight="1" s="50">
      <c r="A49" s="73" t="inlineStr">
        <is>
          <t>Ref</t>
        </is>
      </c>
      <c r="B49" s="73" t="inlineStr">
        <is>
          <t>Evidence file (repository location)</t>
        </is>
      </c>
      <c r="C49" s="73" t="inlineStr">
        <is>
          <t>Date / owner / operator</t>
        </is>
      </c>
      <c r="D49" s="73" t="inlineStr">
        <is>
          <t>Applications tested (source rows)</t>
        </is>
      </c>
      <c r="E49" s="73" t="inlineStr">
        <is>
          <t>Content reviewed</t>
        </is>
      </c>
      <c r="F49" s="73" t="inlineStr">
        <is>
          <t>Conclusion / samples supported</t>
        </is>
      </c>
      <c r="G49" s="73" t="inlineStr">
        <is>
          <t>Control Sample Assessment Result (Pass/Fail)</t>
        </is>
      </c>
      <c r="H49" s="67" t="n"/>
      <c r="S49" s="68" t="n"/>
      <c r="T49" s="68" t="n"/>
      <c r="U49" s="68" t="n"/>
      <c r="V49" s="68" t="n"/>
      <c r="W49" s="85" t="n"/>
      <c r="X49" s="85" t="n"/>
      <c r="Y49" s="85" t="n"/>
      <c r="Z49" s="85" t="n"/>
      <c r="AA49" s="85" t="n"/>
      <c r="AB49" s="85" t="n"/>
      <c r="AC49" s="85" t="n"/>
      <c r="AD49" s="85" t="n"/>
      <c r="AE49" s="85" t="n"/>
      <c r="AF49" s="85" t="n"/>
      <c r="AG49" s="85" t="n"/>
      <c r="AH49" s="85" t="n"/>
      <c r="AI49" s="85" t="n"/>
      <c r="AJ49" s="85" t="n"/>
      <c r="AK49" s="85" t="n"/>
      <c r="AL49" s="85" t="n"/>
      <c r="AM49" s="85" t="n"/>
      <c r="AN49" s="85" t="n"/>
      <c r="AO49" s="85" t="n"/>
      <c r="AP49" s="85" t="n"/>
      <c r="AQ49" s="85" t="n"/>
      <c r="AR49" s="85" t="n"/>
      <c r="AS49" s="85" t="n"/>
      <c r="AT49" s="85" t="n"/>
      <c r="AU49" s="85" t="n"/>
      <c r="AV49" s="85" t="n"/>
      <c r="AW49" s="85" t="n"/>
      <c r="AX49" s="85" t="n"/>
      <c r="AY49" s="85" t="n"/>
    </row>
    <row r="50" ht="126" customHeight="1" s="50">
      <c r="A50" s="78" t="inlineStr">
        <is>
          <t>E05</t>
        </is>
      </c>
      <c r="B50"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0" s="76" t="inlineStr">
        <is>
          <t>09/15/2025, Elizabeth Noda</t>
        </is>
      </c>
      <c r="D50" s="76" t="inlineStr">
        <is>
          <t>1822 ACH Express
1867 FedExport - BSI
1868 FedImport - BSI
3299 Imaging101
4052 Interface Monitor
3301 MQ Payment Monitor
1903 OFAC - BSI
1917 ReconXpert
1936 Swift Interface - BSI
1937 T24</t>
        </is>
      </c>
      <c r="E50"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0" s="76" t="inlineStr">
        <is>
          <t>Supports Data Integrity Validation Performed by IT DR Team (column M), samples 1822, 1867, 1868, 3299, 4052, 3301, 1903, 1917, 1936, 1937</t>
        </is>
      </c>
      <c r="G50" s="77" t="inlineStr">
        <is>
          <t>PASS</t>
        </is>
      </c>
      <c r="H50" s="70" t="n"/>
      <c r="I50" s="70" t="n"/>
      <c r="J50" s="70" t="n"/>
      <c r="K50" s="70" t="n"/>
      <c r="L50" s="70" t="n"/>
      <c r="M50" s="70" t="n"/>
      <c r="N50" s="70" t="n"/>
      <c r="O50" s="69" t="n"/>
      <c r="P50" s="70" t="n"/>
      <c r="Q50" s="70" t="n"/>
      <c r="R50" s="70" t="n"/>
      <c r="S50" s="68" t="n"/>
      <c r="T50" s="68" t="n"/>
      <c r="U50" s="68" t="n"/>
      <c r="V50" s="68" t="n"/>
      <c r="W50" s="85" t="n"/>
      <c r="X50" s="85" t="n"/>
      <c r="Y50" s="85" t="n"/>
      <c r="Z50" s="85" t="n"/>
      <c r="AA50" s="85" t="n"/>
      <c r="AB50" s="85" t="n"/>
      <c r="AC50" s="85" t="n"/>
      <c r="AD50" s="85" t="n"/>
      <c r="AE50" s="85" t="n"/>
      <c r="AF50" s="85" t="n"/>
      <c r="AG50" s="85" t="n"/>
      <c r="AH50" s="85" t="n"/>
      <c r="AI50" s="85" t="n"/>
      <c r="AJ50" s="85" t="n"/>
      <c r="AK50" s="85" t="n"/>
      <c r="AL50" s="85" t="n"/>
      <c r="AM50" s="85" t="n"/>
      <c r="AN50" s="85" t="n"/>
      <c r="AO50" s="85" t="n"/>
      <c r="AP50" s="85" t="n"/>
      <c r="AQ50" s="85" t="n"/>
      <c r="AR50" s="85" t="n"/>
      <c r="AS50" s="85" t="n"/>
      <c r="AT50" s="85" t="n"/>
      <c r="AU50" s="85" t="n"/>
      <c r="AV50" s="85" t="n"/>
      <c r="AW50" s="85" t="n"/>
      <c r="AX50" s="85" t="n"/>
      <c r="AY50" s="85" t="n"/>
    </row>
    <row r="51">
      <c r="A51" s="74" t="n"/>
      <c r="B51" s="74" t="n"/>
      <c r="C51" s="74" t="n"/>
      <c r="D51" s="74" t="n"/>
      <c r="E51" s="74" t="n"/>
      <c r="F51" s="74" t="n"/>
      <c r="G51" s="74" t="n"/>
      <c r="H51" s="68" t="n"/>
      <c r="I51" s="68" t="n"/>
      <c r="J51" s="68" t="n"/>
      <c r="K51" s="68" t="n"/>
      <c r="L51" s="68" t="n"/>
      <c r="M51" s="68" t="n"/>
      <c r="N51" s="68" t="n"/>
      <c r="O51" s="68" t="n"/>
      <c r="P51" s="68" t="n"/>
      <c r="Q51" s="68" t="n"/>
      <c r="R51" s="68" t="n"/>
      <c r="S51" s="68" t="n"/>
      <c r="T51" s="68" t="n"/>
      <c r="U51" s="68" t="n"/>
      <c r="V51" s="68" t="n"/>
      <c r="W51" s="85" t="n"/>
      <c r="X51" s="85" t="n"/>
      <c r="Y51" s="85" t="n"/>
      <c r="Z51" s="85" t="n"/>
      <c r="AA51" s="85" t="n"/>
      <c r="AB51" s="85" t="n"/>
      <c r="AC51" s="85" t="n"/>
      <c r="AD51" s="85" t="n"/>
      <c r="AE51" s="85" t="n"/>
      <c r="AF51" s="85" t="n"/>
      <c r="AG51" s="85" t="n"/>
      <c r="AH51" s="85" t="n"/>
      <c r="AI51" s="85" t="n"/>
      <c r="AJ51" s="85" t="n"/>
      <c r="AK51" s="85" t="n"/>
      <c r="AL51" s="85" t="n"/>
      <c r="AM51" s="85" t="n"/>
      <c r="AN51" s="85" t="n"/>
      <c r="AO51" s="85" t="n"/>
      <c r="AP51" s="85" t="n"/>
      <c r="AQ51" s="85" t="n"/>
      <c r="AR51" s="85" t="n"/>
      <c r="AS51" s="85" t="n"/>
      <c r="AT51" s="85" t="n"/>
      <c r="AU51" s="85" t="n"/>
      <c r="AV51" s="85" t="n"/>
      <c r="AW51" s="85" t="n"/>
      <c r="AX51" s="85" t="n"/>
      <c r="AY51" s="85" t="n"/>
    </row>
    <row r="52" ht="15.5" customHeight="1" s="50">
      <c r="A52" s="71" t="inlineStr">
        <is>
          <t>13. Applications in Scope Identified (column N): review of evidence files and results</t>
        </is>
      </c>
      <c r="B52" s="97" t="n"/>
      <c r="C52" s="97" t="n"/>
      <c r="D52" s="97" t="n"/>
      <c r="E52" s="97" t="n"/>
      <c r="F52" s="97" t="n"/>
      <c r="G52" s="98" t="n"/>
      <c r="H52" s="68" t="n"/>
      <c r="I52" s="68" t="n"/>
      <c r="J52" s="68" t="n"/>
      <c r="K52" s="68" t="n"/>
      <c r="L52" s="68" t="n"/>
      <c r="M52" s="68" t="n"/>
      <c r="N52" s="68" t="n"/>
      <c r="O52" s="68" t="n"/>
      <c r="P52" s="68" t="n"/>
      <c r="Q52" s="68" t="n"/>
      <c r="R52" s="68" t="n"/>
      <c r="S52" s="68" t="n"/>
      <c r="T52" s="68" t="n"/>
      <c r="U52" s="68" t="n"/>
      <c r="V52" s="68" t="n"/>
      <c r="W52" s="85" t="n"/>
      <c r="X52" s="85" t="n"/>
      <c r="Y52" s="85" t="n"/>
      <c r="Z52" s="85" t="n"/>
      <c r="AA52" s="85" t="n"/>
      <c r="AB52" s="85" t="n"/>
      <c r="AC52" s="85" t="n"/>
      <c r="AD52" s="85" t="n"/>
      <c r="AE52" s="85" t="n"/>
      <c r="AF52" s="85" t="n"/>
      <c r="AG52" s="85" t="n"/>
      <c r="AH52" s="85" t="n"/>
      <c r="AI52" s="85" t="n"/>
      <c r="AJ52" s="85" t="n"/>
      <c r="AK52" s="85" t="n"/>
      <c r="AL52" s="85" t="n"/>
      <c r="AM52" s="85" t="n"/>
      <c r="AN52" s="85" t="n"/>
      <c r="AO52" s="85" t="n"/>
      <c r="AP52" s="85" t="n"/>
      <c r="AQ52" s="85" t="n"/>
      <c r="AR52" s="85" t="n"/>
      <c r="AS52" s="85" t="n"/>
      <c r="AT52" s="85" t="n"/>
      <c r="AU52" s="85" t="n"/>
      <c r="AV52" s="85" t="n"/>
      <c r="AW52" s="85" t="n"/>
      <c r="AX52" s="85" t="n"/>
      <c r="AY52" s="85" t="n"/>
    </row>
    <row r="53" ht="26" customHeight="1" s="50">
      <c r="A53" s="73" t="inlineStr">
        <is>
          <t>Ref</t>
        </is>
      </c>
      <c r="B53" s="73" t="inlineStr">
        <is>
          <t>Evidence file (repository location)</t>
        </is>
      </c>
      <c r="C53" s="73" t="inlineStr">
        <is>
          <t>Date / owner / operator</t>
        </is>
      </c>
      <c r="D53" s="73" t="inlineStr">
        <is>
          <t>Applications tested (source rows)</t>
        </is>
      </c>
      <c r="E53" s="73" t="inlineStr">
        <is>
          <t>Content reviewed</t>
        </is>
      </c>
      <c r="F53" s="73" t="inlineStr">
        <is>
          <t>Conclusion / samples supported</t>
        </is>
      </c>
      <c r="G53" s="73" t="inlineStr">
        <is>
          <t>Control Sample Assessment Result (Pass/Fail)</t>
        </is>
      </c>
      <c r="H53" s="67" t="n"/>
      <c r="N53" s="68" t="n"/>
      <c r="O53" s="68" t="n"/>
      <c r="P53" s="68" t="n"/>
      <c r="Q53" s="68" t="n"/>
      <c r="R53" s="68" t="n"/>
      <c r="S53" s="68" t="n"/>
      <c r="T53" s="68" t="n"/>
      <c r="U53" s="68" t="n"/>
      <c r="V53" s="68" t="n"/>
      <c r="W53" s="85" t="n"/>
      <c r="X53" s="85" t="n"/>
      <c r="Y53" s="85" t="n"/>
      <c r="Z53" s="85" t="n"/>
      <c r="AA53" s="85" t="n"/>
      <c r="AB53" s="85" t="n"/>
      <c r="AC53" s="85" t="n"/>
      <c r="AD53" s="85" t="n"/>
      <c r="AE53" s="85" t="n"/>
      <c r="AF53" s="85" t="n"/>
      <c r="AG53" s="85" t="n"/>
      <c r="AH53" s="85" t="n"/>
      <c r="AI53" s="85" t="n"/>
      <c r="AJ53" s="85" t="n"/>
      <c r="AK53" s="85" t="n"/>
      <c r="AL53" s="85" t="n"/>
      <c r="AM53" s="85" t="n"/>
      <c r="AN53" s="85" t="n"/>
      <c r="AO53" s="85" t="n"/>
      <c r="AP53" s="85" t="n"/>
      <c r="AQ53" s="85" t="n"/>
      <c r="AR53" s="85" t="n"/>
      <c r="AS53" s="85" t="n"/>
      <c r="AT53" s="85" t="n"/>
      <c r="AU53" s="85" t="n"/>
      <c r="AV53" s="85" t="n"/>
      <c r="AW53" s="85" t="n"/>
      <c r="AX53" s="85" t="n"/>
      <c r="AY53" s="85" t="n"/>
    </row>
    <row r="54" ht="409" customHeight="1" s="50">
      <c r="A54" s="78" t="inlineStr">
        <is>
          <t>MA01</t>
        </is>
      </c>
      <c r="B54"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4" s="76" t="inlineStr">
        <is>
          <t>09/23/2026, Cesar Vidal (BCiC walkthrough)</t>
        </is>
      </c>
      <c r="D54" s="76" t="inlineStr">
        <is>
          <t>1822 ACH Express
1867 FedExport - BSI
1868 FedImport - BSI
3299 Imaging101
4052 Interface Monitor
3301 MQ Payment Monitor
1903 OFAC - BSI
1917 ReconXpert
1936 Swift Interface - BSI
1937 T24</t>
        </is>
      </c>
      <c r="E54"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54" s="76" t="inlineStr">
        <is>
          <t>Supports Applications in Scope Identified (column N), samples 1822, 1867, 1868, 3299, 4052, 3301, 1903, 1917, 1936, 1937</t>
        </is>
      </c>
      <c r="G54" s="77" t="inlineStr">
        <is>
          <t>PASS</t>
        </is>
      </c>
      <c r="H54" s="70" t="n"/>
      <c r="I54" s="69" t="n"/>
      <c r="J54" s="70" t="n"/>
      <c r="K54" s="70" t="n"/>
      <c r="L54" s="70" t="n"/>
      <c r="M54" s="70" t="n"/>
      <c r="N54" s="68" t="n"/>
      <c r="O54" s="68" t="n"/>
      <c r="P54" s="68" t="n"/>
      <c r="Q54" s="68" t="n"/>
      <c r="R54" s="68" t="n"/>
      <c r="S54" s="68" t="n"/>
      <c r="T54" s="68" t="n"/>
      <c r="U54" s="68" t="n"/>
      <c r="V54" s="68" t="n"/>
      <c r="W54" s="85" t="n"/>
      <c r="X54" s="85" t="n"/>
      <c r="Y54" s="85" t="n"/>
      <c r="Z54" s="85" t="n"/>
      <c r="AA54" s="85" t="n"/>
      <c r="AB54" s="85" t="n"/>
      <c r="AC54" s="85" t="n"/>
      <c r="AD54" s="85" t="n"/>
      <c r="AE54" s="85" t="n"/>
      <c r="AF54" s="85" t="n"/>
      <c r="AG54" s="85" t="n"/>
      <c r="AH54" s="85" t="n"/>
      <c r="AI54" s="85" t="n"/>
      <c r="AJ54" s="85" t="n"/>
      <c r="AK54" s="85" t="n"/>
      <c r="AL54" s="85" t="n"/>
      <c r="AM54" s="85" t="n"/>
      <c r="AN54" s="85" t="n"/>
      <c r="AO54" s="85" t="n"/>
      <c r="AP54" s="85" t="n"/>
      <c r="AQ54" s="85" t="n"/>
      <c r="AR54" s="85" t="n"/>
      <c r="AS54" s="85" t="n"/>
      <c r="AT54" s="85" t="n"/>
      <c r="AU54" s="85" t="n"/>
      <c r="AV54" s="85" t="n"/>
      <c r="AW54" s="85" t="n"/>
      <c r="AX54" s="85" t="n"/>
      <c r="AY54" s="85" t="n"/>
    </row>
    <row r="55">
      <c r="A55" s="74" t="n"/>
      <c r="B55" s="74" t="n"/>
      <c r="C55" s="74" t="n"/>
      <c r="D55" s="74" t="n"/>
      <c r="E55" s="74" t="n"/>
      <c r="F55" s="74" t="n"/>
      <c r="G55" s="74" t="n"/>
      <c r="H55" s="68" t="n"/>
      <c r="I55" s="68" t="n"/>
      <c r="J55" s="68" t="n"/>
      <c r="K55" s="68" t="n"/>
      <c r="L55" s="68" t="n"/>
      <c r="M55" s="68" t="n"/>
      <c r="N55" s="68" t="n"/>
      <c r="O55" s="68" t="n"/>
      <c r="P55" s="68" t="n"/>
      <c r="Q55" s="68" t="n"/>
      <c r="R55" s="68" t="n"/>
      <c r="S55" s="68" t="n"/>
      <c r="T55" s="68" t="n"/>
      <c r="U55" s="68" t="n"/>
      <c r="V55" s="68" t="n"/>
      <c r="W55" s="85" t="n"/>
      <c r="X55" s="85" t="n"/>
      <c r="Y55" s="85" t="n"/>
      <c r="Z55" s="85" t="n"/>
      <c r="AA55" s="85" t="n"/>
      <c r="AB55" s="85" t="n"/>
      <c r="AC55" s="85" t="n"/>
      <c r="AD55" s="85" t="n"/>
      <c r="AE55" s="85" t="n"/>
      <c r="AF55" s="85" t="n"/>
      <c r="AG55" s="85" t="n"/>
      <c r="AH55" s="85" t="n"/>
      <c r="AI55" s="85" t="n"/>
      <c r="AJ55" s="85" t="n"/>
      <c r="AK55" s="85" t="n"/>
      <c r="AL55" s="85" t="n"/>
      <c r="AM55" s="85" t="n"/>
      <c r="AN55" s="85" t="n"/>
      <c r="AO55" s="85" t="n"/>
      <c r="AP55" s="85" t="n"/>
      <c r="AQ55" s="85" t="n"/>
      <c r="AR55" s="85" t="n"/>
      <c r="AS55" s="85" t="n"/>
      <c r="AT55" s="85" t="n"/>
      <c r="AU55" s="85" t="n"/>
      <c r="AV55" s="85" t="n"/>
      <c r="AW55" s="85" t="n"/>
      <c r="AX55" s="85" t="n"/>
      <c r="AY55" s="85" t="n"/>
    </row>
    <row r="56" ht="15.5" customHeight="1" s="50">
      <c r="A56" s="71" t="inlineStr">
        <is>
          <t>14. Business Line Approval of Results (column O): review of evidence files and results</t>
        </is>
      </c>
      <c r="B56" s="97" t="n"/>
      <c r="C56" s="97" t="n"/>
      <c r="D56" s="97" t="n"/>
      <c r="E56" s="97" t="n"/>
      <c r="F56" s="97" t="n"/>
      <c r="G56" s="98" t="n"/>
      <c r="H56" s="68" t="n"/>
      <c r="I56" s="68" t="n"/>
      <c r="J56" s="68" t="n"/>
      <c r="K56" s="68" t="n"/>
      <c r="L56" s="68" t="n"/>
      <c r="M56" s="68" t="n"/>
      <c r="N56" s="68" t="n"/>
      <c r="O56" s="68" t="n"/>
      <c r="P56" s="68" t="n"/>
      <c r="Q56" s="68" t="n"/>
      <c r="R56" s="68" t="n"/>
      <c r="S56" s="68" t="n"/>
      <c r="T56" s="68" t="n"/>
      <c r="U56" s="68" t="n"/>
      <c r="V56" s="68" t="n"/>
      <c r="W56" s="85" t="n"/>
      <c r="X56" s="85" t="n"/>
      <c r="Y56" s="85" t="n"/>
      <c r="Z56" s="85" t="n"/>
      <c r="AA56" s="85" t="n"/>
      <c r="AB56" s="85" t="n"/>
      <c r="AC56" s="85" t="n"/>
      <c r="AD56" s="85" t="n"/>
      <c r="AE56" s="85" t="n"/>
      <c r="AF56" s="85" t="n"/>
      <c r="AG56" s="85" t="n"/>
      <c r="AH56" s="85" t="n"/>
      <c r="AI56" s="85" t="n"/>
      <c r="AJ56" s="85" t="n"/>
      <c r="AK56" s="85" t="n"/>
      <c r="AL56" s="85" t="n"/>
      <c r="AM56" s="85" t="n"/>
      <c r="AN56" s="85" t="n"/>
      <c r="AO56" s="85" t="n"/>
      <c r="AP56" s="85" t="n"/>
      <c r="AQ56" s="85" t="n"/>
      <c r="AR56" s="85" t="n"/>
      <c r="AS56" s="85" t="n"/>
      <c r="AT56" s="85" t="n"/>
      <c r="AU56" s="85" t="n"/>
      <c r="AV56" s="85" t="n"/>
      <c r="AW56" s="85" t="n"/>
      <c r="AX56" s="85" t="n"/>
      <c r="AY56" s="85" t="n"/>
    </row>
    <row r="57" ht="26" customHeight="1" s="50">
      <c r="A57" s="73" t="inlineStr">
        <is>
          <t>Ref</t>
        </is>
      </c>
      <c r="B57" s="73" t="inlineStr">
        <is>
          <t>Evidence file (repository location)</t>
        </is>
      </c>
      <c r="C57" s="73" t="inlineStr">
        <is>
          <t>Date / owner / operator</t>
        </is>
      </c>
      <c r="D57" s="73" t="inlineStr">
        <is>
          <t>Applications tested (source rows)</t>
        </is>
      </c>
      <c r="E57" s="73" t="inlineStr">
        <is>
          <t>Content reviewed</t>
        </is>
      </c>
      <c r="F57" s="73" t="inlineStr">
        <is>
          <t>Conclusion / samples supported</t>
        </is>
      </c>
      <c r="G57" s="73" t="inlineStr">
        <is>
          <t>Control Sample Assessment Result (Pass/Fail)</t>
        </is>
      </c>
      <c r="H57" s="67" t="n"/>
      <c r="AB57" s="85" t="n"/>
      <c r="AC57" s="85" t="n"/>
      <c r="AD57" s="85" t="n"/>
      <c r="AE57" s="85" t="n"/>
      <c r="AF57" s="85" t="n"/>
      <c r="AG57" s="85" t="n"/>
      <c r="AH57" s="85" t="n"/>
      <c r="AI57" s="85" t="n"/>
      <c r="AJ57" s="85" t="n"/>
      <c r="AK57" s="85" t="n"/>
      <c r="AL57" s="85" t="n"/>
      <c r="AM57" s="85" t="n"/>
      <c r="AN57" s="85" t="n"/>
      <c r="AO57" s="85" t="n"/>
      <c r="AP57" s="85" t="n"/>
      <c r="AQ57" s="85" t="n"/>
      <c r="AR57" s="85" t="n"/>
      <c r="AS57" s="85" t="n"/>
      <c r="AT57" s="85" t="n"/>
      <c r="AU57" s="85" t="n"/>
      <c r="AV57" s="85" t="n"/>
      <c r="AW57" s="85" t="n"/>
      <c r="AX57" s="85" t="n"/>
      <c r="AY57" s="85" t="n"/>
    </row>
    <row r="58" ht="78" customHeight="1" s="50">
      <c r="A58" s="78" t="inlineStr">
        <is>
          <t>BLA06</t>
        </is>
      </c>
      <c r="B5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58" s="76" t="inlineStr">
        <is>
          <t>12/31/2025 &amp; 01/26/2026, Sadis Alvarenga</t>
        </is>
      </c>
      <c r="D58" s="76" t="inlineStr">
        <is>
          <t>1917 ReconXpert
1937 T24</t>
        </is>
      </c>
      <c r="E58"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58" s="76" t="inlineStr">
        <is>
          <t>Supports Business Line Approval of Results (column O), samples 1917, 1937</t>
        </is>
      </c>
      <c r="G58" s="77" t="inlineStr">
        <is>
          <t>PASS</t>
        </is>
      </c>
      <c r="H58" s="70" t="n"/>
      <c r="I58" s="70" t="n"/>
      <c r="J58" s="70" t="n"/>
      <c r="K58" s="70" t="n"/>
      <c r="L58" s="70" t="n"/>
      <c r="M58" s="69" t="n"/>
      <c r="N58" s="69" t="n"/>
      <c r="O58" s="69" t="n"/>
      <c r="P58" s="69" t="n"/>
      <c r="Q58" s="69" t="n"/>
      <c r="R58" s="70" t="n"/>
      <c r="S58" s="70" t="n"/>
      <c r="T58" s="70" t="n"/>
      <c r="U58" s="70" t="n"/>
      <c r="V58" s="86" t="n"/>
      <c r="W58" s="87" t="n"/>
      <c r="X58" s="87" t="n"/>
      <c r="Y58" s="87" t="n"/>
      <c r="Z58" s="87" t="n"/>
      <c r="AA58" s="87" t="n"/>
      <c r="AB58" s="85" t="n"/>
      <c r="AC58" s="85" t="n"/>
      <c r="AD58" s="85" t="n"/>
      <c r="AE58" s="85" t="n"/>
      <c r="AF58" s="85" t="n"/>
      <c r="AG58" s="85" t="n"/>
      <c r="AH58" s="85" t="n"/>
      <c r="AI58" s="85" t="n"/>
      <c r="AJ58" s="85" t="n"/>
      <c r="AK58" s="85" t="n"/>
      <c r="AL58" s="85" t="n"/>
      <c r="AM58" s="85" t="n"/>
      <c r="AN58" s="85" t="n"/>
      <c r="AO58" s="85" t="n"/>
      <c r="AP58" s="85" t="n"/>
      <c r="AQ58" s="85" t="n"/>
      <c r="AR58" s="85" t="n"/>
      <c r="AS58" s="85" t="n"/>
      <c r="AT58" s="85" t="n"/>
      <c r="AU58" s="85" t="n"/>
      <c r="AV58" s="85" t="n"/>
      <c r="AW58" s="85" t="n"/>
      <c r="AX58" s="85" t="n"/>
      <c r="AY58" s="85" t="n"/>
    </row>
    <row r="59" ht="78" customHeight="1" s="50">
      <c r="A59" s="78" t="inlineStr">
        <is>
          <t>DMA01</t>
        </is>
      </c>
      <c r="B59"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59" s="76" t="inlineStr">
        <is>
          <t>08/18/2026, Claudia Romero</t>
        </is>
      </c>
      <c r="D59" s="76" t="inlineStr">
        <is>
          <t>1822 ACH Express
1867 FedExport - BSI
1868 FedImport - BSI
3299 Imaging101
1937 T24</t>
        </is>
      </c>
      <c r="E59"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59" s="76" t="inlineStr">
        <is>
          <t>Supports Business Line Approval of Results (column O), samples 1822, 1867, 1868, 3299, 1937</t>
        </is>
      </c>
      <c r="G59" s="77" t="inlineStr">
        <is>
          <t>PASS</t>
        </is>
      </c>
      <c r="H59" s="68" t="n"/>
      <c r="I59" s="68" t="n"/>
      <c r="J59" s="68" t="n"/>
      <c r="K59" s="68" t="n"/>
      <c r="L59" s="68" t="n"/>
      <c r="M59" s="68" t="n"/>
      <c r="N59" s="68" t="n"/>
      <c r="O59" s="68" t="n"/>
      <c r="P59" s="68" t="n"/>
      <c r="Q59" s="68" t="n"/>
      <c r="R59" s="68" t="n"/>
      <c r="S59" s="68" t="n"/>
      <c r="T59" s="68" t="n"/>
      <c r="U59" s="68" t="n"/>
      <c r="V59" s="68" t="n"/>
      <c r="W59" s="85" t="n"/>
      <c r="X59" s="85" t="n"/>
      <c r="Y59" s="85" t="n"/>
      <c r="Z59" s="85" t="n"/>
      <c r="AA59" s="85" t="n"/>
      <c r="AB59" s="85" t="n"/>
      <c r="AC59" s="85" t="n"/>
      <c r="AD59" s="85" t="n"/>
      <c r="AE59" s="85" t="n"/>
      <c r="AF59" s="85" t="n"/>
      <c r="AG59" s="85" t="n"/>
      <c r="AH59" s="85" t="n"/>
      <c r="AI59" s="85" t="n"/>
      <c r="AJ59" s="85" t="n"/>
      <c r="AK59" s="85" t="n"/>
      <c r="AL59" s="85" t="n"/>
      <c r="AM59" s="85" t="n"/>
      <c r="AN59" s="85" t="n"/>
      <c r="AO59" s="85" t="n"/>
      <c r="AP59" s="85" t="n"/>
      <c r="AQ59" s="85" t="n"/>
      <c r="AR59" s="85" t="n"/>
      <c r="AS59" s="85" t="n"/>
      <c r="AT59" s="85" t="n"/>
      <c r="AU59" s="85" t="n"/>
      <c r="AV59" s="85" t="n"/>
      <c r="AW59" s="85" t="n"/>
      <c r="AX59" s="85" t="n"/>
      <c r="AY59" s="85" t="n"/>
    </row>
    <row r="60" ht="136" customHeight="1" s="50">
      <c r="A60" s="78" t="inlineStr">
        <is>
          <t>DMA02</t>
        </is>
      </c>
      <c r="B60"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0" s="76" t="inlineStr">
        <is>
          <t>08/19/2026, David Marquez</t>
        </is>
      </c>
      <c r="D60" s="76" t="inlineStr">
        <is>
          <t>3299 Imaging101
1903 OFAC - BSI
1936 Swift Interface - BSI
1937 T24</t>
        </is>
      </c>
      <c r="E60"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
Checked for Business Line Approval of Results:
Application / record agreed to the evidence.</t>
        </is>
      </c>
      <c r="F60" s="76" t="inlineStr">
        <is>
          <t>Supports Business Line Approval of Results (column O), samples 3299, 1903, 1936, 1937</t>
        </is>
      </c>
      <c r="G60" s="77" t="inlineStr">
        <is>
          <t>PASS</t>
        </is>
      </c>
      <c r="H60" s="68" t="n"/>
      <c r="I60" s="68" t="n"/>
      <c r="J60" s="68" t="n"/>
      <c r="K60" s="68" t="n"/>
      <c r="L60" s="68" t="n"/>
      <c r="M60" s="68" t="n"/>
      <c r="N60" s="68" t="n"/>
      <c r="O60" s="68" t="n"/>
      <c r="P60" s="68" t="n"/>
      <c r="Q60" s="68" t="n"/>
      <c r="R60" s="68" t="n"/>
      <c r="S60" s="68" t="n"/>
      <c r="T60" s="68" t="n"/>
      <c r="U60" s="68" t="n"/>
      <c r="V60" s="68" t="n"/>
      <c r="W60" s="85" t="n"/>
      <c r="X60" s="85" t="n"/>
      <c r="Y60" s="85" t="n"/>
      <c r="Z60" s="85" t="n"/>
      <c r="AA60" s="85" t="n"/>
      <c r="AB60" s="85" t="n"/>
      <c r="AC60" s="85" t="n"/>
      <c r="AD60" s="85" t="n"/>
      <c r="AE60" s="85" t="n"/>
      <c r="AF60" s="85" t="n"/>
      <c r="AG60" s="85" t="n"/>
      <c r="AH60" s="85" t="n"/>
      <c r="AI60" s="85" t="n"/>
      <c r="AJ60" s="85" t="n"/>
      <c r="AK60" s="85" t="n"/>
      <c r="AL60" s="85" t="n"/>
      <c r="AM60" s="85" t="n"/>
      <c r="AN60" s="85" t="n"/>
      <c r="AO60" s="85" t="n"/>
      <c r="AP60" s="85" t="n"/>
      <c r="AQ60" s="85" t="n"/>
      <c r="AR60" s="85" t="n"/>
      <c r="AS60" s="85" t="n"/>
      <c r="AT60" s="85" t="n"/>
      <c r="AU60" s="85" t="n"/>
      <c r="AV60" s="85" t="n"/>
      <c r="AW60" s="85" t="n"/>
      <c r="AX60" s="85" t="n"/>
      <c r="AY60" s="85" t="n"/>
    </row>
    <row r="61" ht="78" customHeight="1" s="50">
      <c r="A61" s="78" t="inlineStr">
        <is>
          <t>DMA03</t>
        </is>
      </c>
      <c r="B61"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1" s="76" t="inlineStr">
        <is>
          <t>08/18/2026, Frank Puentes</t>
        </is>
      </c>
      <c r="D61" s="76" t="inlineStr">
        <is>
          <t>3301 MQ Payment Monitor
1903 OFAC - BSI
1937 T24</t>
        </is>
      </c>
      <c r="E61" s="76" t="inlineStr">
        <is>
          <t>Frank Puentes returns the signed attestation: attachment: 4069_001.pdf (scan, signed Executive Director, Payments &amp; Cash Management, 8/18/2026).
Checked for Business Line Approval of Results:
Application / record agreed to the evidence.</t>
        </is>
      </c>
      <c r="F61" s="76" t="inlineStr">
        <is>
          <t>Supports Business Line Approval of Results (column O), samples 3301, 1903, 1937</t>
        </is>
      </c>
      <c r="G61" s="77" t="inlineStr">
        <is>
          <t>PASS</t>
        </is>
      </c>
      <c r="H61" s="68" t="n"/>
      <c r="I61" s="68" t="n"/>
      <c r="J61" s="68" t="n"/>
      <c r="K61" s="68" t="n"/>
      <c r="L61" s="68" t="n"/>
      <c r="M61" s="68" t="n"/>
      <c r="N61" s="68" t="n"/>
      <c r="O61" s="68" t="n"/>
      <c r="P61" s="68" t="n"/>
      <c r="Q61" s="68" t="n"/>
      <c r="R61" s="68" t="n"/>
      <c r="S61" s="68" t="n"/>
      <c r="T61" s="68" t="n"/>
      <c r="U61" s="68" t="n"/>
      <c r="V61" s="68" t="n"/>
      <c r="W61" s="85" t="n"/>
      <c r="X61" s="85" t="n"/>
      <c r="Y61" s="85" t="n"/>
      <c r="Z61" s="85" t="n"/>
      <c r="AA61" s="85" t="n"/>
      <c r="AB61" s="85" t="n"/>
      <c r="AC61" s="85" t="n"/>
      <c r="AD61" s="85" t="n"/>
      <c r="AE61" s="85" t="n"/>
      <c r="AF61" s="85" t="n"/>
      <c r="AG61" s="85" t="n"/>
      <c r="AH61" s="85" t="n"/>
      <c r="AI61" s="85" t="n"/>
      <c r="AJ61" s="85" t="n"/>
      <c r="AK61" s="85" t="n"/>
      <c r="AL61" s="85" t="n"/>
      <c r="AM61" s="85" t="n"/>
      <c r="AN61" s="85" t="n"/>
      <c r="AO61" s="85" t="n"/>
      <c r="AP61" s="85" t="n"/>
      <c r="AQ61" s="85" t="n"/>
      <c r="AR61" s="85" t="n"/>
      <c r="AS61" s="85" t="n"/>
      <c r="AT61" s="85" t="n"/>
      <c r="AU61" s="85" t="n"/>
      <c r="AV61" s="85" t="n"/>
      <c r="AW61" s="85" t="n"/>
      <c r="AX61" s="85" t="n"/>
      <c r="AY61" s="85" t="n"/>
    </row>
    <row r="62" ht="88" customHeight="1" s="50">
      <c r="A62" s="78" t="inlineStr">
        <is>
          <t>DMA04</t>
        </is>
      </c>
      <c r="B62"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2" s="76" t="inlineStr">
        <is>
          <t>08/17/2026, Michelle Oropesa</t>
        </is>
      </c>
      <c r="D62" s="76" t="inlineStr">
        <is>
          <t>4052 Interface Monitor
1936 Swift Interface - BSI
1937 T24</t>
        </is>
      </c>
      <c r="E62"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2" s="76" t="inlineStr">
        <is>
          <t>Supports Business Line Approval of Results (column O), samples 4052, 1936, 1937</t>
        </is>
      </c>
      <c r="G62" s="77" t="inlineStr">
        <is>
          <t>PASS</t>
        </is>
      </c>
      <c r="H62" s="68" t="n"/>
      <c r="I62" s="68" t="n"/>
      <c r="J62" s="68" t="n"/>
      <c r="K62" s="68" t="n"/>
      <c r="L62" s="68" t="n"/>
      <c r="M62" s="68" t="n"/>
      <c r="N62" s="68" t="n"/>
      <c r="O62" s="68" t="n"/>
      <c r="P62" s="68" t="n"/>
      <c r="Q62" s="68" t="n"/>
      <c r="R62" s="68" t="n"/>
      <c r="S62" s="68" t="n"/>
      <c r="T62" s="68" t="n"/>
      <c r="U62" s="68" t="n"/>
      <c r="V62" s="68" t="n"/>
      <c r="W62" s="85" t="n"/>
      <c r="X62" s="85" t="n"/>
      <c r="Y62" s="85" t="n"/>
      <c r="Z62" s="85" t="n"/>
      <c r="AA62" s="85" t="n"/>
      <c r="AB62" s="85" t="n"/>
      <c r="AC62" s="85" t="n"/>
      <c r="AD62" s="85" t="n"/>
      <c r="AE62" s="85" t="n"/>
      <c r="AF62" s="85" t="n"/>
      <c r="AG62" s="85" t="n"/>
      <c r="AH62" s="85" t="n"/>
      <c r="AI62" s="85" t="n"/>
      <c r="AJ62" s="85" t="n"/>
      <c r="AK62" s="85" t="n"/>
      <c r="AL62" s="85" t="n"/>
      <c r="AM62" s="85" t="n"/>
      <c r="AN62" s="85" t="n"/>
      <c r="AO62" s="85" t="n"/>
      <c r="AP62" s="85" t="n"/>
      <c r="AQ62" s="85" t="n"/>
      <c r="AR62" s="85" t="n"/>
      <c r="AS62" s="85" t="n"/>
      <c r="AT62" s="85" t="n"/>
      <c r="AU62" s="85" t="n"/>
      <c r="AV62" s="85" t="n"/>
      <c r="AW62" s="85" t="n"/>
      <c r="AX62" s="85" t="n"/>
      <c r="AY62" s="85" t="n"/>
    </row>
    <row r="63">
      <c r="A63" s="74" t="n"/>
      <c r="B63" s="74" t="n"/>
      <c r="C63" s="74" t="n"/>
      <c r="D63" s="74" t="n"/>
      <c r="E63" s="74" t="n"/>
      <c r="F63" s="74" t="n"/>
      <c r="G63" s="74" t="n"/>
      <c r="H63" s="68" t="n"/>
      <c r="I63" s="68" t="n"/>
      <c r="J63" s="68" t="n"/>
      <c r="K63" s="68" t="n"/>
      <c r="L63" s="68" t="n"/>
      <c r="M63" s="68" t="n"/>
      <c r="N63" s="68" t="n"/>
      <c r="O63" s="68" t="n"/>
      <c r="P63" s="68" t="n"/>
      <c r="Q63" s="68" t="n"/>
      <c r="R63" s="68" t="n"/>
      <c r="S63" s="68" t="n"/>
      <c r="T63" s="68" t="n"/>
      <c r="U63" s="68" t="n"/>
      <c r="V63" s="68" t="n"/>
      <c r="W63" s="85" t="n"/>
      <c r="X63" s="85" t="n"/>
      <c r="Y63" s="85" t="n"/>
      <c r="Z63" s="85" t="n"/>
      <c r="AA63" s="85" t="n"/>
      <c r="AB63" s="85" t="n"/>
      <c r="AC63" s="85" t="n"/>
      <c r="AD63" s="85" t="n"/>
      <c r="AE63" s="85" t="n"/>
      <c r="AF63" s="85" t="n"/>
      <c r="AG63" s="85" t="n"/>
      <c r="AH63" s="85" t="n"/>
      <c r="AI63" s="85" t="n"/>
      <c r="AJ63" s="85" t="n"/>
      <c r="AK63" s="85" t="n"/>
      <c r="AL63" s="85" t="n"/>
      <c r="AM63" s="85" t="n"/>
      <c r="AN63" s="85" t="n"/>
      <c r="AO63" s="85" t="n"/>
      <c r="AP63" s="85" t="n"/>
      <c r="AQ63" s="85" t="n"/>
      <c r="AR63" s="85" t="n"/>
      <c r="AS63" s="85" t="n"/>
      <c r="AT63" s="85" t="n"/>
      <c r="AU63" s="85" t="n"/>
      <c r="AV63" s="85" t="n"/>
      <c r="AW63" s="85" t="n"/>
      <c r="AX63" s="85" t="n"/>
      <c r="AY63" s="85" t="n"/>
    </row>
    <row r="64" ht="15.5" customHeight="1" s="50">
      <c r="A64" s="71" t="inlineStr">
        <is>
          <t>Business Line Approval Results: Email (folder 02), Review of results documents and approval email</t>
        </is>
      </c>
      <c r="B64" s="97" t="n"/>
      <c r="C64" s="97" t="n"/>
      <c r="D64" s="97" t="n"/>
      <c r="E64" s="97" t="n"/>
      <c r="F64" s="97" t="n"/>
      <c r="G64" s="98" t="n"/>
      <c r="H64" s="68" t="n"/>
      <c r="I64" s="68" t="n"/>
      <c r="J64" s="68" t="n"/>
      <c r="K64" s="68" t="n"/>
      <c r="L64" s="68" t="n"/>
      <c r="M64" s="68" t="n"/>
      <c r="N64" s="68" t="n"/>
      <c r="O64" s="68" t="n"/>
      <c r="P64" s="68" t="n"/>
      <c r="Q64" s="68" t="n"/>
      <c r="R64" s="68" t="n"/>
      <c r="S64" s="68" t="n"/>
      <c r="T64" s="68" t="n"/>
      <c r="U64" s="68" t="n"/>
      <c r="V64" s="68" t="n"/>
      <c r="W64" s="85" t="n"/>
      <c r="X64" s="85" t="n"/>
      <c r="Y64" s="85" t="n"/>
      <c r="Z64" s="85" t="n"/>
      <c r="AA64" s="85" t="n"/>
      <c r="AB64" s="85" t="n"/>
      <c r="AC64" s="85" t="n"/>
      <c r="AD64" s="85" t="n"/>
      <c r="AE64" s="85" t="n"/>
      <c r="AF64" s="85" t="n"/>
      <c r="AG64" s="85" t="n"/>
      <c r="AH64" s="85" t="n"/>
      <c r="AI64" s="85" t="n"/>
      <c r="AJ64" s="85" t="n"/>
      <c r="AK64" s="85" t="n"/>
      <c r="AL64" s="85" t="n"/>
      <c r="AM64" s="85" t="n"/>
      <c r="AN64" s="85" t="n"/>
      <c r="AO64" s="85" t="n"/>
      <c r="AP64" s="85" t="n"/>
      <c r="AQ64" s="85" t="n"/>
      <c r="AR64" s="85" t="n"/>
      <c r="AS64" s="85" t="n"/>
      <c r="AT64" s="85" t="n"/>
      <c r="AU64" s="85" t="n"/>
      <c r="AV64" s="85" t="n"/>
      <c r="AW64" s="85" t="n"/>
      <c r="AX64" s="85" t="n"/>
      <c r="AY64" s="85" t="n"/>
    </row>
    <row r="65" ht="26" customHeight="1" s="50">
      <c r="A65" s="73" t="inlineStr">
        <is>
          <t>Ref</t>
        </is>
      </c>
      <c r="B65" s="73" t="inlineStr">
        <is>
          <t>Evidence file (repository location)</t>
        </is>
      </c>
      <c r="C65" s="73" t="inlineStr">
        <is>
          <t>Business line / date / operator</t>
        </is>
      </c>
      <c r="D65" s="73" t="inlineStr">
        <is>
          <t>DIV applications in scope (per document)</t>
        </is>
      </c>
      <c r="E65" s="73" t="inlineStr">
        <is>
          <t>Content reviewed</t>
        </is>
      </c>
      <c r="F65" s="73" t="inlineStr">
        <is>
          <t>Conclusion / samples supported</t>
        </is>
      </c>
      <c r="G65" s="73" t="inlineStr">
        <is>
          <t>Control Sample Assessment Result (Pass/Fail)</t>
        </is>
      </c>
      <c r="H65" s="68" t="n"/>
      <c r="I65" s="68" t="n"/>
      <c r="J65" s="68" t="n"/>
      <c r="K65" s="68" t="n"/>
      <c r="L65" s="68" t="n"/>
      <c r="M65" s="68" t="n"/>
      <c r="N65" s="68" t="n"/>
      <c r="O65" s="68" t="n"/>
      <c r="P65" s="68" t="n"/>
      <c r="Q65" s="68" t="n"/>
      <c r="R65" s="68" t="n"/>
      <c r="S65" s="68" t="n"/>
      <c r="T65" s="68" t="n"/>
      <c r="U65" s="68" t="n"/>
      <c r="V65" s="68" t="n"/>
      <c r="W65" s="85" t="n"/>
      <c r="X65" s="85" t="n"/>
      <c r="Y65" s="85" t="n"/>
      <c r="Z65" s="85" t="n"/>
      <c r="AA65" s="85" t="n"/>
      <c r="AB65" s="85" t="n"/>
      <c r="AC65" s="85" t="n"/>
      <c r="AD65" s="85" t="n"/>
      <c r="AE65" s="85" t="n"/>
      <c r="AF65" s="85" t="n"/>
      <c r="AG65" s="85" t="n"/>
      <c r="AH65" s="85" t="n"/>
      <c r="AI65" s="85" t="n"/>
      <c r="AJ65" s="85" t="n"/>
      <c r="AK65" s="85" t="n"/>
      <c r="AL65" s="85" t="n"/>
      <c r="AM65" s="85" t="n"/>
      <c r="AN65" s="85" t="n"/>
      <c r="AO65" s="85" t="n"/>
      <c r="AP65" s="85" t="n"/>
      <c r="AQ65" s="85" t="n"/>
      <c r="AR65" s="85" t="n"/>
      <c r="AS65" s="85" t="n"/>
      <c r="AT65" s="85" t="n"/>
      <c r="AU65" s="85" t="n"/>
      <c r="AV65" s="85" t="n"/>
      <c r="AW65" s="85" t="n"/>
      <c r="AX65" s="85" t="n"/>
      <c r="AY65" s="85" t="n"/>
    </row>
    <row r="66" ht="64" customHeight="1" s="50">
      <c r="A66" s="76" t="inlineStr">
        <is>
          <t>BLA01</t>
        </is>
      </c>
      <c r="B66"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66" s="76" t="inlineStr">
        <is>
          <t>11/15/2025, Client Back Office (operator Raimy Ayala)</t>
        </is>
      </c>
      <c r="D66" s="76" t="inlineStr">
        <is>
          <t>FedImport, FedExport, Imaging101, T24 (ACH Express import step evidenced p.5)</t>
        </is>
      </c>
      <c r="E66" s="76" t="inlineStr">
        <is>
          <t>DR test script with Data Integrity Validation section. Application in-scope: FedImport, FedExport, Imaging101, T24. Format / Headers / Content = Y, "No data discrepancy found". Steps include ACH Express import and Imaging101 validation screenshots (14 pages).</t>
        </is>
      </c>
      <c r="F66" s="76" t="inlineStr">
        <is>
          <t>Business line DIV results document supports Business Data Validation, DIV procedures and Business Line Approval of Results, samples 1822, 1867, 1868, 3299, 1937</t>
        </is>
      </c>
      <c r="G66" s="77" t="inlineStr">
        <is>
          <t>PASS</t>
        </is>
      </c>
      <c r="H66" s="68" t="n"/>
      <c r="I66" s="68" t="n"/>
      <c r="J66" s="68" t="n"/>
      <c r="K66" s="68" t="n"/>
      <c r="L66" s="68" t="n"/>
      <c r="M66" s="68" t="n"/>
      <c r="N66" s="68" t="n"/>
      <c r="O66" s="68" t="n"/>
      <c r="P66" s="68" t="n"/>
      <c r="Q66" s="68" t="n"/>
      <c r="R66" s="68" t="n"/>
      <c r="S66" s="68" t="n"/>
      <c r="T66" s="68" t="n"/>
      <c r="U66" s="68" t="n"/>
      <c r="V66" s="68" t="n"/>
      <c r="W66" s="85" t="n"/>
      <c r="X66" s="85" t="n"/>
      <c r="Y66" s="85" t="n"/>
      <c r="Z66" s="85" t="n"/>
      <c r="AA66" s="85" t="n"/>
      <c r="AB66" s="85" t="n"/>
      <c r="AC66" s="85" t="n"/>
      <c r="AD66" s="85" t="n"/>
      <c r="AE66" s="85" t="n"/>
      <c r="AF66" s="85" t="n"/>
      <c r="AG66" s="85" t="n"/>
      <c r="AH66" s="85" t="n"/>
      <c r="AI66" s="85" t="n"/>
      <c r="AJ66" s="85" t="n"/>
      <c r="AK66" s="85" t="n"/>
      <c r="AL66" s="85" t="n"/>
      <c r="AM66" s="85" t="n"/>
      <c r="AN66" s="85" t="n"/>
      <c r="AO66" s="85" t="n"/>
      <c r="AP66" s="85" t="n"/>
      <c r="AQ66" s="85" t="n"/>
      <c r="AR66" s="85" t="n"/>
      <c r="AS66" s="85" t="n"/>
      <c r="AT66" s="85" t="n"/>
      <c r="AU66" s="85" t="n"/>
      <c r="AV66" s="85" t="n"/>
      <c r="AW66" s="85" t="n"/>
      <c r="AX66" s="85" t="n"/>
      <c r="AY66" s="85" t="n"/>
    </row>
    <row r="67" ht="64" customHeight="1" s="50">
      <c r="A67" s="76" t="inlineStr">
        <is>
          <t>BLA02</t>
        </is>
      </c>
      <c r="B67"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67" s="76" t="inlineStr">
        <is>
          <t>11/15/2025, BSA/AML/OFAC Compliance (operator David Marquez)</t>
        </is>
      </c>
      <c r="D67" s="76" t="inlineStr">
        <is>
          <t>T24, Imaging101, OFAC</t>
        </is>
      </c>
      <c r="E67" s="76" t="inlineStr">
        <is>
          <t>OFAC Verifier test script. Application in-scope: T24, Imaging101, OFAC. DIV procedure instructions listed; production-day (11/14/2025) versus test-day (11/15/2025) screenshots for T24, Imaging101/ModeloIC and OFAC Report 64. NOTE: DIV Yes/No answer boxes on p.1 are blank.</t>
        </is>
      </c>
      <c r="F67" s="76" t="inlineStr">
        <is>
          <t>Business line DIV results document supports Business Data Validation, DIV procedures and Business Line Approval of Results, samples 3299, 1903, 1937</t>
        </is>
      </c>
      <c r="G67" s="77" t="inlineStr">
        <is>
          <t>PASS</t>
        </is>
      </c>
      <c r="H67" s="68" t="n"/>
      <c r="I67" s="68" t="n"/>
      <c r="J67" s="68" t="n"/>
      <c r="K67" s="68" t="n"/>
      <c r="L67" s="68" t="n"/>
      <c r="M67" s="68" t="n"/>
      <c r="N67" s="68" t="n"/>
      <c r="O67" s="68" t="n"/>
      <c r="P67" s="68" t="n"/>
      <c r="Q67" s="68" t="n"/>
      <c r="R67" s="68" t="n"/>
      <c r="S67" s="68" t="n"/>
      <c r="T67" s="68" t="n"/>
      <c r="U67" s="68" t="n"/>
      <c r="V67" s="68" t="n"/>
      <c r="W67" s="85" t="n"/>
      <c r="X67" s="85" t="n"/>
      <c r="Y67" s="85" t="n"/>
      <c r="Z67" s="85" t="n"/>
      <c r="AA67" s="85" t="n"/>
      <c r="AB67" s="85" t="n"/>
      <c r="AC67" s="85" t="n"/>
      <c r="AD67" s="85" t="n"/>
      <c r="AE67" s="85" t="n"/>
      <c r="AF67" s="85" t="n"/>
      <c r="AG67" s="85" t="n"/>
      <c r="AH67" s="85" t="n"/>
      <c r="AI67" s="85" t="n"/>
      <c r="AJ67" s="85" t="n"/>
      <c r="AK67" s="85" t="n"/>
      <c r="AL67" s="85" t="n"/>
      <c r="AM67" s="85" t="n"/>
      <c r="AN67" s="85" t="n"/>
      <c r="AO67" s="85" t="n"/>
      <c r="AP67" s="85" t="n"/>
      <c r="AQ67" s="85" t="n"/>
      <c r="AR67" s="85" t="n"/>
      <c r="AS67" s="85" t="n"/>
      <c r="AT67" s="85" t="n"/>
      <c r="AU67" s="85" t="n"/>
      <c r="AV67" s="85" t="n"/>
      <c r="AW67" s="85" t="n"/>
      <c r="AX67" s="85" t="n"/>
      <c r="AY67" s="85" t="n"/>
    </row>
    <row r="68" ht="52" customHeight="1" s="50">
      <c r="A68" s="76" t="inlineStr">
        <is>
          <t>BLA03</t>
        </is>
      </c>
      <c r="B68"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68" s="76" t="inlineStr">
        <is>
          <t>11/15/2025, Payments &amp; Position Management (operators Frank Puentes / Gustavo Bucaro)</t>
        </is>
      </c>
      <c r="D68" s="76" t="inlineStr">
        <is>
          <t>T24, MQ Payment Monitor, OFAC - BSI, Fedlink - BSI, Swift Interface - BSI</t>
        </is>
      </c>
      <c r="E68" s="76" t="inlineStr">
        <is>
          <t>Wire Transfer / Cash Mgt / Financial Messaging script. DIV application in-scope: T24, MQ Payment Monitor, OFAC - BSI, Fedlink - BSI, Swift Interface - BSI. Format / Headers / Content = yes; data from 11/14/2025 Fed &amp; SWIFT reconciled.</t>
        </is>
      </c>
      <c r="F68" s="76" t="inlineStr">
        <is>
          <t>Business line DIV results document supports Business Data Validation, DIV procedures and Business Line Approval of Results, samples 3301, 1903, 1936, 1937</t>
        </is>
      </c>
      <c r="G68" s="77" t="inlineStr">
        <is>
          <t>PASS</t>
        </is>
      </c>
      <c r="H68" s="68" t="n"/>
      <c r="I68" s="68" t="n"/>
      <c r="J68" s="68" t="n"/>
      <c r="K68" s="68" t="n"/>
      <c r="L68" s="68" t="n"/>
      <c r="M68" s="68" t="n"/>
      <c r="N68" s="68" t="n"/>
      <c r="O68" s="68" t="n"/>
      <c r="P68" s="68" t="n"/>
      <c r="Q68" s="68" t="n"/>
      <c r="R68" s="68" t="n"/>
      <c r="S68" s="68" t="n"/>
      <c r="T68" s="68" t="n"/>
      <c r="U68" s="68" t="n"/>
      <c r="V68" s="68" t="n"/>
      <c r="W68" s="85" t="n"/>
      <c r="X68" s="85" t="n"/>
      <c r="Y68" s="85" t="n"/>
      <c r="Z68" s="85" t="n"/>
      <c r="AA68" s="85" t="n"/>
      <c r="AB68" s="85" t="n"/>
      <c r="AC68" s="85" t="n"/>
      <c r="AD68" s="85" t="n"/>
      <c r="AE68" s="85" t="n"/>
      <c r="AF68" s="85" t="n"/>
      <c r="AG68" s="85" t="n"/>
      <c r="AH68" s="85" t="n"/>
      <c r="AI68" s="85" t="n"/>
      <c r="AJ68" s="85" t="n"/>
      <c r="AK68" s="85" t="n"/>
      <c r="AL68" s="85" t="n"/>
      <c r="AM68" s="85" t="n"/>
      <c r="AN68" s="85" t="n"/>
      <c r="AO68" s="85" t="n"/>
      <c r="AP68" s="85" t="n"/>
      <c r="AQ68" s="85" t="n"/>
      <c r="AR68" s="85" t="n"/>
      <c r="AS68" s="85" t="n"/>
      <c r="AT68" s="85" t="n"/>
      <c r="AU68" s="85" t="n"/>
      <c r="AV68" s="85" t="n"/>
      <c r="AW68" s="85" t="n"/>
      <c r="AX68" s="85" t="n"/>
      <c r="AY68" s="85" t="n"/>
    </row>
    <row r="69" ht="64" customHeight="1" s="50">
      <c r="A69" s="76" t="inlineStr">
        <is>
          <t>BLA04</t>
        </is>
      </c>
      <c r="B69"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69" s="76" t="inlineStr">
        <is>
          <t>11/15/2025, Investment Operations (operator Michelle Oropesa)</t>
        </is>
      </c>
      <c r="D69" s="76" t="inlineStr">
        <is>
          <t>T24 &amp; Swift Interface - BSI (Swift Interface Monitor accessed)</t>
        </is>
      </c>
      <c r="E69"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69" s="76" t="inlineStr">
        <is>
          <t>Business line DIV results document supports Business Data Validation, DIV procedures and Business Line Approval of Results, samples 4052, 1936, 1937</t>
        </is>
      </c>
      <c r="G69" s="77" t="inlineStr">
        <is>
          <t>PASS</t>
        </is>
      </c>
      <c r="H69" s="68" t="n"/>
      <c r="I69" s="68" t="n"/>
      <c r="J69" s="68" t="n"/>
      <c r="K69" s="68" t="n"/>
      <c r="L69" s="68" t="n"/>
      <c r="M69" s="68" t="n"/>
      <c r="N69" s="68" t="n"/>
      <c r="O69" s="68" t="n"/>
      <c r="P69" s="68" t="n"/>
      <c r="Q69" s="68" t="n"/>
      <c r="R69" s="68" t="n"/>
      <c r="S69" s="68" t="n"/>
      <c r="T69" s="68" t="n"/>
      <c r="U69" s="68" t="n"/>
      <c r="V69" s="68" t="n"/>
      <c r="W69" s="85" t="n"/>
      <c r="X69" s="85" t="n"/>
      <c r="Y69" s="85" t="n"/>
      <c r="Z69" s="85" t="n"/>
      <c r="AA69" s="85" t="n"/>
      <c r="AB69" s="85" t="n"/>
      <c r="AC69" s="85" t="n"/>
      <c r="AD69" s="85" t="n"/>
      <c r="AE69" s="85" t="n"/>
      <c r="AF69" s="85" t="n"/>
      <c r="AG69" s="85" t="n"/>
      <c r="AH69" s="85" t="n"/>
      <c r="AI69" s="85" t="n"/>
      <c r="AJ69" s="85" t="n"/>
      <c r="AK69" s="85" t="n"/>
      <c r="AL69" s="85" t="n"/>
      <c r="AM69" s="85" t="n"/>
      <c r="AN69" s="85" t="n"/>
      <c r="AO69" s="85" t="n"/>
      <c r="AP69" s="85" t="n"/>
      <c r="AQ69" s="85" t="n"/>
      <c r="AR69" s="85" t="n"/>
      <c r="AS69" s="85" t="n"/>
      <c r="AT69" s="85" t="n"/>
      <c r="AU69" s="85" t="n"/>
      <c r="AV69" s="85" t="n"/>
      <c r="AW69" s="85" t="n"/>
      <c r="AX69" s="85" t="n"/>
      <c r="AY69" s="85" t="n"/>
    </row>
    <row r="70" ht="46" customHeight="1" s="50">
      <c r="A70" s="76" t="inlineStr">
        <is>
          <t>BLA05</t>
        </is>
      </c>
      <c r="B70"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0" s="76" t="inlineStr">
        <is>
          <t>11/15/2025, Finance &amp; Accounting Reporting (operator Dunia Gonzalez Collado)</t>
        </is>
      </c>
      <c r="D70" s="76" t="inlineStr">
        <is>
          <t>T24 &amp; ReconXpert</t>
        </is>
      </c>
      <c r="E70" s="76" t="inlineStr">
        <is>
          <t>General ledger review script. DIV application in-scope: T24 &amp; ReconXpert. Reconciliations passed; Format / Headers / Content = Yes, "No discrepancies found on the report".</t>
        </is>
      </c>
      <c r="F70" s="76" t="inlineStr">
        <is>
          <t>Business line DIV results document supports Business Data Validation, DIV procedures and Business Line Approval of Results, samples 1917, 1937</t>
        </is>
      </c>
      <c r="G70" s="77" t="inlineStr">
        <is>
          <t>PASS</t>
        </is>
      </c>
      <c r="H70" s="68" t="n"/>
      <c r="I70" s="68" t="n"/>
      <c r="J70" s="68" t="n"/>
      <c r="K70" s="68" t="n"/>
      <c r="L70" s="68" t="n"/>
      <c r="M70" s="68" t="n"/>
      <c r="N70" s="68" t="n"/>
      <c r="O70" s="68" t="n"/>
      <c r="P70" s="68" t="n"/>
      <c r="Q70" s="68" t="n"/>
      <c r="R70" s="68" t="n"/>
      <c r="S70" s="68" t="n"/>
      <c r="T70" s="68" t="n"/>
      <c r="U70" s="68" t="n"/>
      <c r="V70" s="68" t="n"/>
      <c r="W70" s="85" t="n"/>
      <c r="X70" s="85" t="n"/>
      <c r="Y70" s="85" t="n"/>
      <c r="Z70" s="85" t="n"/>
      <c r="AA70" s="85" t="n"/>
      <c r="AB70" s="85" t="n"/>
      <c r="AC70" s="85" t="n"/>
      <c r="AD70" s="85" t="n"/>
      <c r="AE70" s="85" t="n"/>
      <c r="AF70" s="85" t="n"/>
      <c r="AG70" s="85" t="n"/>
      <c r="AH70" s="85" t="n"/>
      <c r="AI70" s="85" t="n"/>
      <c r="AJ70" s="85" t="n"/>
      <c r="AK70" s="85" t="n"/>
      <c r="AL70" s="85" t="n"/>
      <c r="AM70" s="85" t="n"/>
      <c r="AN70" s="85" t="n"/>
      <c r="AO70" s="85" t="n"/>
      <c r="AP70" s="85" t="n"/>
      <c r="AQ70" s="85" t="n"/>
      <c r="AR70" s="85" t="n"/>
      <c r="AS70" s="85" t="n"/>
      <c r="AT70" s="85" t="n"/>
      <c r="AU70" s="85" t="n"/>
      <c r="AV70" s="85" t="n"/>
      <c r="AW70" s="85" t="n"/>
      <c r="AX70" s="85" t="n"/>
      <c r="AY70" s="85" t="n"/>
    </row>
    <row r="71" ht="46" customHeight="1" s="50">
      <c r="A71" s="76" t="inlineStr">
        <is>
          <t>BLA06</t>
        </is>
      </c>
      <c r="B7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1" s="76" t="inlineStr">
        <is>
          <t>12/31/2025 &amp; 01/26/2026, Sadis Alvarenga</t>
        </is>
      </c>
      <c r="D71" s="76" t="inlineStr">
        <is>
          <t>Financial Analysis &amp; Control (T24, ReconXpert)</t>
        </is>
      </c>
      <c r="E71" s="76" t="inlineStr">
        <is>
          <t>Sadis Alvarenga (Financial Analysis &amp; Control manager) replies "Approved." on 12/31/2025 and again on 01/26/2026 to Elizabeth Noda's request to approve the submitted test script.</t>
        </is>
      </c>
      <c r="F71" s="76" t="inlineStr">
        <is>
          <t>Business line manager approval (Sadis Alvarenga), in period (01/26/2026), samples 1917, 1937</t>
        </is>
      </c>
      <c r="G71" s="77" t="inlineStr">
        <is>
          <t>PASS</t>
        </is>
      </c>
      <c r="H71" s="68" t="n"/>
      <c r="I71" s="68" t="n"/>
      <c r="J71" s="68" t="n"/>
      <c r="K71" s="68" t="n"/>
      <c r="L71" s="68" t="n"/>
      <c r="M71" s="68" t="n"/>
      <c r="N71" s="68" t="n"/>
      <c r="O71" s="68" t="n"/>
      <c r="P71" s="68" t="n"/>
      <c r="Q71" s="68" t="n"/>
      <c r="R71" s="68" t="n"/>
      <c r="S71" s="68" t="n"/>
      <c r="T71" s="68" t="n"/>
      <c r="U71" s="68" t="n"/>
      <c r="V71" s="68" t="n"/>
      <c r="W71" s="85" t="n"/>
      <c r="X71" s="85" t="n"/>
      <c r="Y71" s="85" t="n"/>
      <c r="Z71" s="85" t="n"/>
      <c r="AA71" s="85" t="n"/>
      <c r="AB71" s="85" t="n"/>
      <c r="AC71" s="85" t="n"/>
      <c r="AD71" s="85" t="n"/>
      <c r="AE71" s="85" t="n"/>
      <c r="AF71" s="85" t="n"/>
      <c r="AG71" s="85" t="n"/>
      <c r="AH71" s="85" t="n"/>
      <c r="AI71" s="85" t="n"/>
      <c r="AJ71" s="85" t="n"/>
      <c r="AK71" s="85" t="n"/>
      <c r="AL71" s="85" t="n"/>
      <c r="AM71" s="85" t="n"/>
      <c r="AN71" s="85" t="n"/>
      <c r="AO71" s="85" t="n"/>
      <c r="AP71" s="85" t="n"/>
      <c r="AQ71" s="85" t="n"/>
      <c r="AR71" s="85" t="n"/>
      <c r="AS71" s="85" t="n"/>
      <c r="AT71" s="85" t="n"/>
      <c r="AU71" s="85" t="n"/>
      <c r="AV71" s="85" t="n"/>
      <c r="AW71" s="85" t="n"/>
      <c r="AX71" s="85" t="n"/>
      <c r="AY71" s="85" t="n"/>
    </row>
    <row r="72">
      <c r="A72" s="74" t="n"/>
      <c r="B72" s="74" t="n"/>
      <c r="C72" s="74" t="n"/>
      <c r="D72" s="74" t="n"/>
      <c r="E72" s="74" t="n"/>
      <c r="F72" s="74" t="n"/>
      <c r="G72" s="74" t="n"/>
      <c r="H72" s="68" t="n"/>
      <c r="I72" s="68" t="n"/>
      <c r="J72" s="68" t="n"/>
      <c r="K72" s="68" t="n"/>
      <c r="L72" s="68" t="n"/>
      <c r="M72" s="68" t="n"/>
      <c r="N72" s="68" t="n"/>
      <c r="O72" s="68" t="n"/>
      <c r="P72" s="68" t="n"/>
      <c r="Q72" s="68" t="n"/>
      <c r="R72" s="68" t="n"/>
      <c r="S72" s="68" t="n"/>
      <c r="T72" s="68" t="n"/>
      <c r="U72" s="68" t="n"/>
      <c r="V72" s="68" t="n"/>
      <c r="W72" s="85" t="n"/>
      <c r="X72" s="85" t="n"/>
      <c r="Y72" s="85" t="n"/>
      <c r="Z72" s="85" t="n"/>
      <c r="AA72" s="85" t="n"/>
      <c r="AB72" s="85" t="n"/>
      <c r="AC72" s="85" t="n"/>
      <c r="AD72" s="85" t="n"/>
      <c r="AE72" s="85" t="n"/>
      <c r="AF72" s="85" t="n"/>
      <c r="AG72" s="85" t="n"/>
      <c r="AH72" s="85" t="n"/>
      <c r="AI72" s="85" t="n"/>
      <c r="AJ72" s="85" t="n"/>
      <c r="AK72" s="85" t="n"/>
      <c r="AL72" s="85" t="n"/>
      <c r="AM72" s="85" t="n"/>
      <c r="AN72" s="85" t="n"/>
      <c r="AO72" s="85" t="n"/>
      <c r="AP72" s="85" t="n"/>
      <c r="AQ72" s="85" t="n"/>
      <c r="AR72" s="85" t="n"/>
      <c r="AS72" s="85" t="n"/>
      <c r="AT72" s="85" t="n"/>
      <c r="AU72" s="85" t="n"/>
      <c r="AV72" s="85" t="n"/>
      <c r="AW72" s="85" t="n"/>
      <c r="AX72" s="85" t="n"/>
      <c r="AY72" s="85" t="n"/>
    </row>
    <row r="73" ht="15.5" customHeight="1" s="50">
      <c r="A73" s="71" t="inlineStr">
        <is>
          <t>DIV Manager Attestation Email Approvals (folder 03), application-specific business line manager approvals</t>
        </is>
      </c>
      <c r="B73" s="97" t="n"/>
      <c r="C73" s="97" t="n"/>
      <c r="D73" s="97" t="n"/>
      <c r="E73" s="97" t="n"/>
      <c r="F73" s="97" t="n"/>
      <c r="G73" s="98" t="n"/>
      <c r="H73" s="68" t="n"/>
      <c r="I73" s="68" t="n"/>
      <c r="J73" s="68" t="n"/>
      <c r="K73" s="68" t="n"/>
      <c r="L73" s="68" t="n"/>
      <c r="M73" s="68" t="n"/>
      <c r="N73" s="68" t="n"/>
      <c r="O73" s="68" t="n"/>
      <c r="P73" s="68" t="n"/>
      <c r="Q73" s="68" t="n"/>
      <c r="R73" s="68" t="n"/>
      <c r="S73" s="68" t="n"/>
      <c r="T73" s="68" t="n"/>
      <c r="U73" s="68" t="n"/>
      <c r="V73" s="68" t="n"/>
      <c r="W73" s="85" t="n"/>
      <c r="X73" s="85" t="n"/>
      <c r="Y73" s="85" t="n"/>
      <c r="Z73" s="85" t="n"/>
      <c r="AA73" s="85" t="n"/>
      <c r="AB73" s="85" t="n"/>
      <c r="AC73" s="85" t="n"/>
      <c r="AD73" s="85" t="n"/>
      <c r="AE73" s="85" t="n"/>
      <c r="AF73" s="85" t="n"/>
      <c r="AG73" s="85" t="n"/>
      <c r="AH73" s="85" t="n"/>
      <c r="AI73" s="85" t="n"/>
      <c r="AJ73" s="85" t="n"/>
      <c r="AK73" s="85" t="n"/>
      <c r="AL73" s="85" t="n"/>
      <c r="AM73" s="85" t="n"/>
      <c r="AN73" s="85" t="n"/>
      <c r="AO73" s="85" t="n"/>
      <c r="AP73" s="85" t="n"/>
      <c r="AQ73" s="85" t="n"/>
      <c r="AR73" s="85" t="n"/>
      <c r="AS73" s="85" t="n"/>
      <c r="AT73" s="85" t="n"/>
      <c r="AU73" s="85" t="n"/>
      <c r="AV73" s="85" t="n"/>
      <c r="AW73" s="85" t="n"/>
      <c r="AX73" s="85" t="n"/>
      <c r="AY73" s="85" t="n"/>
    </row>
    <row r="74" ht="26" customHeight="1" s="50">
      <c r="A74" s="73" t="inlineStr">
        <is>
          <t>Ref</t>
        </is>
      </c>
      <c r="B74" s="73" t="inlineStr">
        <is>
          <t>Evidence file (repository location)</t>
        </is>
      </c>
      <c r="C74" s="73" t="inlineStr">
        <is>
          <t>Approver / date</t>
        </is>
      </c>
      <c r="D74" s="73" t="inlineStr">
        <is>
          <t>BCiC Department Manager and tested applications (E03 rows)</t>
        </is>
      </c>
      <c r="E74" s="73" t="inlineStr">
        <is>
          <t>Content reviewed</t>
        </is>
      </c>
      <c r="F74" s="73" t="inlineStr">
        <is>
          <t>Conclusion / samples supported</t>
        </is>
      </c>
      <c r="G74" s="73" t="inlineStr">
        <is>
          <t>Control Sample Assessment Result (Pass/Fail)</t>
        </is>
      </c>
      <c r="H74" s="68" t="n"/>
      <c r="I74" s="68" t="n"/>
      <c r="J74" s="68" t="n"/>
      <c r="K74" s="68" t="n"/>
      <c r="L74" s="68" t="n"/>
      <c r="M74" s="68" t="n"/>
      <c r="N74" s="68" t="n"/>
      <c r="O74" s="68" t="n"/>
      <c r="P74" s="68" t="n"/>
      <c r="Q74" s="68" t="n"/>
      <c r="R74" s="68" t="n"/>
      <c r="S74" s="68" t="n"/>
      <c r="T74" s="68" t="n"/>
      <c r="U74" s="68" t="n"/>
      <c r="V74" s="68" t="n"/>
      <c r="W74" s="85" t="n"/>
      <c r="X74" s="85" t="n"/>
      <c r="Y74" s="85" t="n"/>
      <c r="Z74" s="85" t="n"/>
      <c r="AA74" s="85" t="n"/>
      <c r="AB74" s="85" t="n"/>
      <c r="AC74" s="85" t="n"/>
      <c r="AD74" s="85" t="n"/>
      <c r="AE74" s="85" t="n"/>
      <c r="AF74" s="85" t="n"/>
      <c r="AG74" s="85" t="n"/>
      <c r="AH74" s="85" t="n"/>
      <c r="AI74" s="85" t="n"/>
      <c r="AJ74" s="85" t="n"/>
      <c r="AK74" s="85" t="n"/>
      <c r="AL74" s="85" t="n"/>
      <c r="AM74" s="85" t="n"/>
      <c r="AN74" s="85" t="n"/>
      <c r="AO74" s="85" t="n"/>
      <c r="AP74" s="85" t="n"/>
      <c r="AQ74" s="85" t="n"/>
      <c r="AR74" s="85" t="n"/>
      <c r="AS74" s="85" t="n"/>
      <c r="AT74" s="85" t="n"/>
      <c r="AU74" s="85" t="n"/>
      <c r="AV74" s="85" t="n"/>
      <c r="AW74" s="85" t="n"/>
      <c r="AX74" s="85" t="n"/>
      <c r="AY74" s="85" t="n"/>
    </row>
    <row r="75" ht="46" customHeight="1" s="50">
      <c r="A75" s="76" t="inlineStr">
        <is>
          <t>DMA01</t>
        </is>
      </c>
      <c r="B75"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75" s="76" t="inlineStr">
        <is>
          <t>08/18/2026, Claudia Romero</t>
        </is>
      </c>
      <c r="D75" s="76" t="inlineStr">
        <is>
          <t>FedExport - BSI (row 9); FedImport - BSI (row 10); Imaging101 (rows 11, 13); T24 (rows 12, 14, 48); ACH Express (row 47)</t>
        </is>
      </c>
      <c r="E75" s="76" t="inlineStr">
        <is>
          <t>Claudia Romero (Client Back Office Manager VP) returns the signed Management Attestation, attachment: Data_Integrity_Attestation_Santander-BCiC (002).pdf (signed Claudia Romero).</t>
        </is>
      </c>
      <c r="F75" s="76" t="inlineStr">
        <is>
          <t>Approval evidence for 8 DIV records: in-period approval evidence, samples 1822, 1867, 1868, 3299, 1937</t>
        </is>
      </c>
      <c r="G75" s="77" t="inlineStr">
        <is>
          <t>PASS</t>
        </is>
      </c>
      <c r="H75" s="68" t="n"/>
      <c r="I75" s="68" t="n"/>
      <c r="J75" s="68" t="n"/>
      <c r="K75" s="68" t="n"/>
      <c r="L75" s="68" t="n"/>
      <c r="M75" s="68" t="n"/>
      <c r="N75" s="68" t="n"/>
      <c r="O75" s="68" t="n"/>
      <c r="P75" s="68" t="n"/>
      <c r="Q75" s="68" t="n"/>
      <c r="R75" s="68" t="n"/>
      <c r="S75" s="68" t="n"/>
      <c r="T75" s="68" t="n"/>
      <c r="U75" s="68" t="n"/>
      <c r="V75" s="68" t="n"/>
      <c r="W75" s="85" t="n"/>
      <c r="X75" s="85" t="n"/>
      <c r="Y75" s="85" t="n"/>
      <c r="Z75" s="85" t="n"/>
      <c r="AA75" s="85" t="n"/>
      <c r="AB75" s="85" t="n"/>
      <c r="AC75" s="85" t="n"/>
      <c r="AD75" s="85" t="n"/>
      <c r="AE75" s="85" t="n"/>
      <c r="AF75" s="85" t="n"/>
      <c r="AG75" s="85" t="n"/>
      <c r="AH75" s="85" t="n"/>
      <c r="AI75" s="85" t="n"/>
      <c r="AJ75" s="85" t="n"/>
      <c r="AK75" s="85" t="n"/>
      <c r="AL75" s="85" t="n"/>
      <c r="AM75" s="85" t="n"/>
      <c r="AN75" s="85" t="n"/>
      <c r="AO75" s="85" t="n"/>
      <c r="AP75" s="85" t="n"/>
      <c r="AQ75" s="85" t="n"/>
      <c r="AR75" s="85" t="n"/>
      <c r="AS75" s="85" t="n"/>
      <c r="AT75" s="85" t="n"/>
      <c r="AU75" s="85" t="n"/>
      <c r="AV75" s="85" t="n"/>
      <c r="AW75" s="85" t="n"/>
      <c r="AX75" s="85" t="n"/>
      <c r="AY75" s="85" t="n"/>
    </row>
    <row r="76" ht="100" customHeight="1" s="50">
      <c r="A76" s="76" t="inlineStr">
        <is>
          <t>DMA02</t>
        </is>
      </c>
      <c r="B76"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76" s="76" t="inlineStr">
        <is>
          <t>08/19/2026, David Marquez</t>
        </is>
      </c>
      <c r="D76" s="76" t="inlineStr">
        <is>
          <t>Imaging101 (row 5); OFAC - BSI (row 6); Swift Interface - BSI (row 7); T24 (row 8)</t>
        </is>
      </c>
      <c r="E76"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t>
        </is>
      </c>
      <c r="F76" s="76" t="inlineStr">
        <is>
          <t>Approval evidence for 4 DIV records: approval evidence dated after 06/01/2026 (BCiC approval 11/15/2025), samples 1822, 1867, 1868, 3299, 4052, 3301, 1903, 1917, 1936, 1937</t>
        </is>
      </c>
      <c r="G76" s="77" t="inlineStr">
        <is>
          <t>PASS</t>
        </is>
      </c>
      <c r="H76" s="68" t="n"/>
      <c r="I76" s="68" t="n"/>
      <c r="J76" s="68" t="n"/>
      <c r="K76" s="68" t="n"/>
      <c r="L76" s="68" t="n"/>
      <c r="M76" s="68" t="n"/>
      <c r="N76" s="68" t="n"/>
      <c r="O76" s="68" t="n"/>
      <c r="P76" s="68" t="n"/>
      <c r="Q76" s="68" t="n"/>
      <c r="R76" s="68" t="n"/>
      <c r="S76" s="68" t="n"/>
      <c r="T76" s="68" t="n"/>
      <c r="U76" s="68" t="n"/>
      <c r="V76" s="68" t="n"/>
      <c r="W76" s="85" t="n"/>
      <c r="X76" s="85" t="n"/>
      <c r="Y76" s="85" t="n"/>
      <c r="Z76" s="85" t="n"/>
      <c r="AA76" s="85" t="n"/>
      <c r="AB76" s="85" t="n"/>
      <c r="AC76" s="85" t="n"/>
      <c r="AD76" s="85" t="n"/>
      <c r="AE76" s="85" t="n"/>
      <c r="AF76" s="85" t="n"/>
      <c r="AG76" s="85" t="n"/>
      <c r="AH76" s="85" t="n"/>
      <c r="AI76" s="85" t="n"/>
      <c r="AJ76" s="85" t="n"/>
      <c r="AK76" s="85" t="n"/>
      <c r="AL76" s="85" t="n"/>
      <c r="AM76" s="85" t="n"/>
      <c r="AN76" s="85" t="n"/>
      <c r="AO76" s="85" t="n"/>
      <c r="AP76" s="85" t="n"/>
      <c r="AQ76" s="85" t="n"/>
      <c r="AR76" s="85" t="n"/>
      <c r="AS76" s="85" t="n"/>
      <c r="AT76" s="85" t="n"/>
      <c r="AU76" s="85" t="n"/>
      <c r="AV76" s="85" t="n"/>
      <c r="AW76" s="85" t="n"/>
      <c r="AX76" s="85" t="n"/>
      <c r="AY76" s="85" t="n"/>
    </row>
    <row r="77" ht="46" customHeight="1" s="50">
      <c r="A77" s="76" t="inlineStr">
        <is>
          <t>DMA03</t>
        </is>
      </c>
      <c r="B77"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77" s="76" t="inlineStr">
        <is>
          <t>08/18/2026, Frank Puentes</t>
        </is>
      </c>
      <c r="D77" s="76" t="inlineStr">
        <is>
          <t>T24 (rows 23, 27, 31, 33); MQ Payment Monitor (rows 25, 29); OFAC - BSI (rows 26, 30, 34)</t>
        </is>
      </c>
      <c r="E77" s="76" t="inlineStr">
        <is>
          <t>Frank Puentes returns the signed attestation: attachment: 4069_001.pdf (scan, signed Executive Director, Payments &amp; Cash Management, 8/18/2026).</t>
        </is>
      </c>
      <c r="F77" s="76" t="inlineStr">
        <is>
          <t>Approval evidence for 9 DIV records: approval evidence dated after 06/01/2026 (BCiC approval 12/18/2025), samples 3301, 1903, 1937</t>
        </is>
      </c>
      <c r="G77" s="77" t="inlineStr">
        <is>
          <t>PASS</t>
        </is>
      </c>
      <c r="H77" s="68" t="n"/>
      <c r="I77" s="68" t="n"/>
      <c r="J77" s="68" t="n"/>
      <c r="K77" s="68" t="n"/>
      <c r="L77" s="68" t="n"/>
      <c r="M77" s="68" t="n"/>
      <c r="N77" s="68" t="n"/>
      <c r="O77" s="68" t="n"/>
      <c r="P77" s="68" t="n"/>
      <c r="Q77" s="68" t="n"/>
      <c r="R77" s="68" t="n"/>
      <c r="S77" s="68" t="n"/>
      <c r="T77" s="68" t="n"/>
      <c r="U77" s="68" t="n"/>
      <c r="V77" s="68" t="n"/>
      <c r="W77" s="85" t="n"/>
      <c r="X77" s="85" t="n"/>
      <c r="Y77" s="85" t="n"/>
      <c r="Z77" s="85" t="n"/>
      <c r="AA77" s="85" t="n"/>
      <c r="AB77" s="85" t="n"/>
      <c r="AC77" s="85" t="n"/>
      <c r="AD77" s="85" t="n"/>
      <c r="AE77" s="85" t="n"/>
      <c r="AF77" s="85" t="n"/>
      <c r="AG77" s="85" t="n"/>
      <c r="AH77" s="85" t="n"/>
      <c r="AI77" s="85" t="n"/>
      <c r="AJ77" s="85" t="n"/>
      <c r="AK77" s="85" t="n"/>
      <c r="AL77" s="85" t="n"/>
      <c r="AM77" s="85" t="n"/>
      <c r="AN77" s="85" t="n"/>
      <c r="AO77" s="85" t="n"/>
      <c r="AP77" s="85" t="n"/>
      <c r="AQ77" s="85" t="n"/>
      <c r="AR77" s="85" t="n"/>
      <c r="AS77" s="85" t="n"/>
      <c r="AT77" s="85" t="n"/>
      <c r="AU77" s="85" t="n"/>
      <c r="AV77" s="85" t="n"/>
      <c r="AW77" s="85" t="n"/>
      <c r="AX77" s="85" t="n"/>
      <c r="AY77" s="85" t="n"/>
    </row>
    <row r="78" ht="52" customHeight="1" s="50">
      <c r="A78" s="76" t="inlineStr">
        <is>
          <t>DMA04</t>
        </is>
      </c>
      <c r="B78"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78" s="76" t="inlineStr">
        <is>
          <t>08/17/2026, Michelle Oropesa</t>
        </is>
      </c>
      <c r="D78" s="76" t="inlineStr">
        <is>
          <t>T24 (rows 19, 20, 21); Swift Interface - BSI (row 60); Interface Monitor (row 61)</t>
        </is>
      </c>
      <c r="E78" s="76" t="inlineStr">
        <is>
          <t>Michelle Oropesa (Investment Operations Director) returns the signed attestation, attachment: Data_Integrity_Attestation_Santander-BCiC.pdf (signed Investment Operations Director, VP, 8/17/2026).</t>
        </is>
      </c>
      <c r="F78" s="76" t="inlineStr">
        <is>
          <t>Approval evidence for 5 DIV records: approval evidence dated after 06/01/2026 (BCiC approval 08/17/2026), samples 4052, 1936, 1937</t>
        </is>
      </c>
      <c r="G78" s="77" t="inlineStr">
        <is>
          <t>PASS</t>
        </is>
      </c>
      <c r="H78" s="68" t="n"/>
      <c r="I78" s="68" t="n"/>
      <c r="J78" s="68" t="n"/>
      <c r="K78" s="68" t="n"/>
      <c r="L78" s="68" t="n"/>
      <c r="M78" s="68" t="n"/>
      <c r="N78" s="68" t="n"/>
      <c r="O78" s="68" t="n"/>
      <c r="P78" s="68" t="n"/>
      <c r="Q78" s="68" t="n"/>
      <c r="R78" s="68" t="n"/>
      <c r="S78" s="68" t="n"/>
      <c r="T78" s="68" t="n"/>
      <c r="U78" s="68" t="n"/>
      <c r="V78" s="68" t="n"/>
      <c r="W78" s="85" t="n"/>
      <c r="X78" s="85" t="n"/>
      <c r="Y78" s="85" t="n"/>
      <c r="Z78" s="85" t="n"/>
      <c r="AA78" s="85" t="n"/>
      <c r="AB78" s="85" t="n"/>
      <c r="AC78" s="85" t="n"/>
      <c r="AD78" s="85" t="n"/>
      <c r="AE78" s="85" t="n"/>
      <c r="AF78" s="85" t="n"/>
      <c r="AG78" s="85" t="n"/>
      <c r="AH78" s="85" t="n"/>
      <c r="AI78" s="85" t="n"/>
      <c r="AJ78" s="85" t="n"/>
      <c r="AK78" s="85" t="n"/>
      <c r="AL78" s="85" t="n"/>
      <c r="AM78" s="85" t="n"/>
      <c r="AN78" s="85" t="n"/>
      <c r="AO78" s="85" t="n"/>
      <c r="AP78" s="85" t="n"/>
      <c r="AQ78" s="85" t="n"/>
      <c r="AR78" s="85" t="n"/>
      <c r="AS78" s="85" t="n"/>
      <c r="AT78" s="85" t="n"/>
      <c r="AU78" s="85" t="n"/>
      <c r="AV78" s="85" t="n"/>
      <c r="AW78" s="85" t="n"/>
      <c r="AX78" s="85" t="n"/>
      <c r="AY78" s="85" t="n"/>
    </row>
    <row r="79" ht="52" customHeight="1" s="50">
      <c r="A79" s="76" t="inlineStr">
        <is>
          <t>DMA05</t>
        </is>
      </c>
      <c r="B79"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79" s="76" t="inlineStr">
        <is>
          <t>08/19/2026, Maria Teresa (Mayte) Del Cerro</t>
        </is>
      </c>
      <c r="D79" s="76" t="inlineStr">
        <is>
          <t>T24 (rows 18, 54, 59); Imaging101 (rows 53, 57); OFAC - BSI (row 58)</t>
        </is>
      </c>
      <c r="E79" s="76" t="inlineStr">
        <is>
          <t>Senior Director of Operations returns the signed attestation, attachments: Data_Integrity_Attestation_Santander-BCiC.pdf (signed Maria Teresa Del Cerro Hontanilla, Director of Operations, 08/19/2026) and the BCiC export (same file as E16b).</t>
        </is>
      </c>
      <c r="F79" s="76" t="inlineStr">
        <is>
          <t>Approval evidence for 6 DIV records: approval evidence dated after 06/01/2026 (BCiC approval 08/19/2026), samples 3299, 1903, 1937</t>
        </is>
      </c>
      <c r="G79" s="77" t="inlineStr">
        <is>
          <t>PASS</t>
        </is>
      </c>
      <c r="H79" s="68" t="n"/>
      <c r="I79" s="68" t="n"/>
      <c r="J79" s="68" t="n"/>
      <c r="K79" s="68" t="n"/>
      <c r="L79" s="68" t="n"/>
      <c r="M79" s="68" t="n"/>
      <c r="N79" s="68" t="n"/>
      <c r="O79" s="68" t="n"/>
      <c r="P79" s="68" t="n"/>
      <c r="Q79" s="68" t="n"/>
      <c r="R79" s="68" t="n"/>
      <c r="S79" s="68" t="n"/>
      <c r="T79" s="68" t="n"/>
      <c r="U79" s="68" t="n"/>
      <c r="V79" s="68" t="n"/>
      <c r="W79" s="85" t="n"/>
      <c r="X79" s="85" t="n"/>
      <c r="Y79" s="85" t="n"/>
      <c r="Z79" s="85" t="n"/>
      <c r="AA79" s="85" t="n"/>
      <c r="AB79" s="85" t="n"/>
      <c r="AC79" s="85" t="n"/>
      <c r="AD79" s="85" t="n"/>
      <c r="AE79" s="85" t="n"/>
      <c r="AF79" s="85" t="n"/>
      <c r="AG79" s="85" t="n"/>
      <c r="AH79" s="85" t="n"/>
      <c r="AI79" s="85" t="n"/>
      <c r="AJ79" s="85" t="n"/>
      <c r="AK79" s="85" t="n"/>
      <c r="AL79" s="85" t="n"/>
      <c r="AM79" s="85" t="n"/>
      <c r="AN79" s="85" t="n"/>
      <c r="AO79" s="85" t="n"/>
      <c r="AP79" s="85" t="n"/>
      <c r="AQ79" s="85" t="n"/>
      <c r="AR79" s="85" t="n"/>
      <c r="AS79" s="85" t="n"/>
      <c r="AT79" s="85" t="n"/>
      <c r="AU79" s="85" t="n"/>
      <c r="AV79" s="85" t="n"/>
      <c r="AW79" s="85" t="n"/>
      <c r="AX79" s="85" t="n"/>
      <c r="AY79" s="85" t="n"/>
    </row>
    <row r="80" ht="52" customHeight="1" s="50">
      <c r="A80" s="76" t="inlineStr">
        <is>
          <t>DMA06</t>
        </is>
      </c>
      <c r="B80"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0" s="76" t="inlineStr">
        <is>
          <t>08/18/2026, Ricardo Garcia-Marques</t>
        </is>
      </c>
      <c r="D80" s="76" t="inlineStr">
        <is>
          <t>T24 (rows 3, 35, 36, 37, 38, 39, 40, 63)</t>
        </is>
      </c>
      <c r="E80" s="76" t="inlineStr">
        <is>
          <t>Attestation and approval from Trading &amp; Capital Markets (covers BCiC records approved by Ricardo Garcia), attachment: Data_Integrity_Attestation_Santander-BCiC_signed.pdf (e-signed MD, Head of Trading &amp; Capital Markets, 08/18/2026 11:45 AM EDT).</t>
        </is>
      </c>
      <c r="F80" s="76" t="inlineStr">
        <is>
          <t>Approval evidence for 8 DIV records: approval evidence dated after 06/01/2026 (BCiC approval 08/18/2026), samples 1937</t>
        </is>
      </c>
      <c r="G80" s="77" t="inlineStr">
        <is>
          <t>PASS</t>
        </is>
      </c>
      <c r="H80" s="68" t="n"/>
      <c r="I80" s="68" t="n"/>
      <c r="J80" s="68" t="n"/>
      <c r="K80" s="68" t="n"/>
      <c r="L80" s="68" t="n"/>
      <c r="M80" s="68" t="n"/>
      <c r="N80" s="68" t="n"/>
      <c r="O80" s="68" t="n"/>
      <c r="P80" s="68" t="n"/>
      <c r="Q80" s="68" t="n"/>
      <c r="R80" s="68" t="n"/>
      <c r="S80" s="68" t="n"/>
      <c r="T80" s="68" t="n"/>
      <c r="U80" s="68" t="n"/>
      <c r="V80" s="68" t="n"/>
      <c r="W80" s="85" t="n"/>
      <c r="X80" s="85" t="n"/>
      <c r="Y80" s="85" t="n"/>
      <c r="Z80" s="85" t="n"/>
      <c r="AA80" s="85" t="n"/>
      <c r="AB80" s="85" t="n"/>
      <c r="AC80" s="85" t="n"/>
      <c r="AD80" s="85" t="n"/>
      <c r="AE80" s="85" t="n"/>
      <c r="AF80" s="85" t="n"/>
      <c r="AG80" s="85" t="n"/>
      <c r="AH80" s="85" t="n"/>
      <c r="AI80" s="85" t="n"/>
      <c r="AJ80" s="85" t="n"/>
      <c r="AK80" s="85" t="n"/>
      <c r="AL80" s="85" t="n"/>
      <c r="AM80" s="85" t="n"/>
      <c r="AN80" s="85" t="n"/>
      <c r="AO80" s="85" t="n"/>
      <c r="AP80" s="85" t="n"/>
      <c r="AQ80" s="85" t="n"/>
      <c r="AR80" s="85" t="n"/>
      <c r="AS80" s="85" t="n"/>
      <c r="AT80" s="85" t="n"/>
      <c r="AU80" s="85" t="n"/>
      <c r="AV80" s="85" t="n"/>
      <c r="AW80" s="85" t="n"/>
      <c r="AX80" s="85" t="n"/>
      <c r="AY80" s="85" t="n"/>
    </row>
    <row r="81" ht="46" customHeight="1" s="50">
      <c r="A81" s="76" t="inlineStr">
        <is>
          <t>DMA07</t>
        </is>
      </c>
      <c r="B81"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1" s="76" t="inlineStr">
        <is>
          <t>08/18/2026, Martha Sullivan</t>
        </is>
      </c>
      <c r="D81" s="76" t="inlineStr">
        <is>
          <t>T24 (rows 41, 42, 43, 44, 45, 46)</t>
        </is>
      </c>
      <c r="E81" s="76" t="inlineStr">
        <is>
          <t>Martha Sullivan returns the signed attestation, attachment: Data_Integrity_Attestation_Santander-BCiC.pdf (signed Balance Sheet Manager, Treasury).</t>
        </is>
      </c>
      <c r="F81" s="76" t="inlineStr">
        <is>
          <t>Approval evidence for 6 DIV records: approval evidence dated after 06/01/2026 (BCiC approval 08/18/2026), samples 1937</t>
        </is>
      </c>
      <c r="G81" s="77" t="inlineStr">
        <is>
          <t>PASS</t>
        </is>
      </c>
      <c r="H81" s="68" t="n"/>
      <c r="I81" s="68" t="n"/>
      <c r="J81" s="68" t="n"/>
      <c r="K81" s="68" t="n"/>
      <c r="L81" s="68" t="n"/>
      <c r="M81" s="68" t="n"/>
      <c r="N81" s="68" t="n"/>
      <c r="O81" s="68" t="n"/>
      <c r="P81" s="68" t="n"/>
      <c r="Q81" s="68" t="n"/>
      <c r="R81" s="68" t="n"/>
      <c r="S81" s="68" t="n"/>
      <c r="T81" s="68" t="n"/>
      <c r="U81" s="68" t="n"/>
      <c r="V81" s="68" t="n"/>
      <c r="W81" s="85" t="n"/>
      <c r="X81" s="85" t="n"/>
      <c r="Y81" s="85" t="n"/>
      <c r="Z81" s="85" t="n"/>
      <c r="AA81" s="85" t="n"/>
      <c r="AB81" s="85" t="n"/>
      <c r="AC81" s="85" t="n"/>
      <c r="AD81" s="85" t="n"/>
      <c r="AE81" s="85" t="n"/>
      <c r="AF81" s="85" t="n"/>
      <c r="AG81" s="85" t="n"/>
      <c r="AH81" s="85" t="n"/>
      <c r="AI81" s="85" t="n"/>
      <c r="AJ81" s="85" t="n"/>
      <c r="AK81" s="85" t="n"/>
      <c r="AL81" s="85" t="n"/>
      <c r="AM81" s="85" t="n"/>
      <c r="AN81" s="85" t="n"/>
      <c r="AO81" s="85" t="n"/>
      <c r="AP81" s="85" t="n"/>
      <c r="AQ81" s="85" t="n"/>
      <c r="AR81" s="85" t="n"/>
      <c r="AS81" s="85" t="n"/>
      <c r="AT81" s="85" t="n"/>
      <c r="AU81" s="85" t="n"/>
      <c r="AV81" s="85" t="n"/>
      <c r="AW81" s="85" t="n"/>
      <c r="AX81" s="85" t="n"/>
      <c r="AY81" s="85" t="n"/>
    </row>
    <row r="82" ht="46" customHeight="1" s="50">
      <c r="A82" s="76" t="inlineStr">
        <is>
          <t>DMA08</t>
        </is>
      </c>
      <c r="B82"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2" s="76" t="inlineStr">
        <is>
          <t>08/18/2026, Ivan Caisapanta</t>
        </is>
      </c>
      <c r="D82" s="76" t="inlineStr">
        <is>
          <t>T24 (rows 55, 56)</t>
        </is>
      </c>
      <c r="E82" s="76" t="inlineStr">
        <is>
          <t>"Hi Elizabeth, You have my approval", Financial Risk (BCiC Department Manager recorded as Xavier Caisapanta).</t>
        </is>
      </c>
      <c r="F82" s="76" t="inlineStr">
        <is>
          <t>Approval evidence for 2 DIV records: approval evidence dated after 06/01/2026 (BCiC approval 08/18/2026), samples 1937</t>
        </is>
      </c>
      <c r="G82" s="77" t="inlineStr">
        <is>
          <t>PASS</t>
        </is>
      </c>
      <c r="H82" s="68" t="n"/>
      <c r="I82" s="68" t="n"/>
      <c r="J82" s="68" t="n"/>
      <c r="K82" s="68" t="n"/>
      <c r="L82" s="68" t="n"/>
      <c r="M82" s="68" t="n"/>
      <c r="N82" s="68" t="n"/>
      <c r="O82" s="68" t="n"/>
      <c r="P82" s="68" t="n"/>
      <c r="Q82" s="68" t="n"/>
      <c r="R82" s="68" t="n"/>
      <c r="S82" s="68" t="n"/>
      <c r="T82" s="68" t="n"/>
      <c r="U82" s="68" t="n"/>
      <c r="V82" s="68" t="n"/>
      <c r="W82" s="85" t="n"/>
      <c r="X82" s="85" t="n"/>
      <c r="Y82" s="85" t="n"/>
      <c r="Z82" s="85" t="n"/>
      <c r="AA82" s="85" t="n"/>
      <c r="AB82" s="85" t="n"/>
      <c r="AC82" s="85" t="n"/>
      <c r="AD82" s="85" t="n"/>
      <c r="AE82" s="85" t="n"/>
      <c r="AF82" s="85" t="n"/>
      <c r="AG82" s="85" t="n"/>
      <c r="AH82" s="85" t="n"/>
      <c r="AI82" s="85" t="n"/>
      <c r="AJ82" s="85" t="n"/>
      <c r="AK82" s="85" t="n"/>
      <c r="AL82" s="85" t="n"/>
      <c r="AM82" s="85" t="n"/>
      <c r="AN82" s="85" t="n"/>
      <c r="AO82" s="85" t="n"/>
      <c r="AP82" s="85" t="n"/>
      <c r="AQ82" s="85" t="n"/>
      <c r="AR82" s="85" t="n"/>
      <c r="AS82" s="85" t="n"/>
      <c r="AT82" s="85" t="n"/>
      <c r="AU82" s="85" t="n"/>
      <c r="AV82" s="85" t="n"/>
      <c r="AW82" s="85" t="n"/>
      <c r="AX82" s="85" t="n"/>
      <c r="AY82" s="85" t="n"/>
    </row>
    <row r="83" ht="46" customHeight="1" s="50">
      <c r="A83" s="76" t="inlineStr">
        <is>
          <t>DMA09</t>
        </is>
      </c>
      <c r="B83"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83" s="76" t="inlineStr">
        <is>
          <t>08/18/2026, Clara G. De Castro</t>
        </is>
      </c>
      <c r="D83" s="76" t="inlineStr">
        <is>
          <t>T24 (row 62)</t>
        </is>
      </c>
      <c r="E83" s="76" t="inlineStr">
        <is>
          <t>Clara De Castro (Director, General Services &amp; Facilities) returns the signed attestation, attachment: Data_Integrity_Attestation_Santander-BCiC.pdf (signed Clara G. De Castro).</t>
        </is>
      </c>
      <c r="F83" s="76" t="inlineStr">
        <is>
          <t>Approval evidence for 1 DIV records: approval evidence dated after 06/01/2026 (BCiC approval 08/18/2026), samples 1937</t>
        </is>
      </c>
      <c r="G83" s="77" t="inlineStr">
        <is>
          <t>PASS</t>
        </is>
      </c>
      <c r="H83" s="68" t="n"/>
      <c r="I83" s="68" t="n"/>
      <c r="J83" s="68" t="n"/>
      <c r="K83" s="68" t="n"/>
      <c r="L83" s="68" t="n"/>
      <c r="M83" s="68" t="n"/>
      <c r="N83" s="68" t="n"/>
      <c r="O83" s="68" t="n"/>
      <c r="P83" s="68" t="n"/>
      <c r="Q83" s="68" t="n"/>
      <c r="R83" s="68" t="n"/>
      <c r="S83" s="68" t="n"/>
      <c r="T83" s="68" t="n"/>
      <c r="U83" s="68" t="n"/>
      <c r="V83" s="68" t="n"/>
      <c r="W83" s="85" t="n"/>
      <c r="X83" s="85" t="n"/>
      <c r="Y83" s="85" t="n"/>
      <c r="Z83" s="85" t="n"/>
      <c r="AA83" s="85" t="n"/>
      <c r="AB83" s="85" t="n"/>
      <c r="AC83" s="85" t="n"/>
      <c r="AD83" s="85" t="n"/>
      <c r="AE83" s="85" t="n"/>
      <c r="AF83" s="85" t="n"/>
      <c r="AG83" s="85" t="n"/>
      <c r="AH83" s="85" t="n"/>
      <c r="AI83" s="85" t="n"/>
      <c r="AJ83" s="85" t="n"/>
      <c r="AK83" s="85" t="n"/>
      <c r="AL83" s="85" t="n"/>
      <c r="AM83" s="85" t="n"/>
      <c r="AN83" s="85" t="n"/>
      <c r="AO83" s="85" t="n"/>
      <c r="AP83" s="85" t="n"/>
      <c r="AQ83" s="85" t="n"/>
      <c r="AR83" s="85" t="n"/>
      <c r="AS83" s="85" t="n"/>
      <c r="AT83" s="85" t="n"/>
      <c r="AU83" s="85" t="n"/>
      <c r="AV83" s="85" t="n"/>
      <c r="AW83" s="85" t="n"/>
      <c r="AX83" s="85" t="n"/>
      <c r="AY83" s="85" t="n"/>
    </row>
    <row r="84" ht="46" customHeight="1" s="50">
      <c r="A84" s="76" t="inlineStr">
        <is>
          <t>DMA10</t>
        </is>
      </c>
      <c r="B84"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84" s="76" t="inlineStr">
        <is>
          <t>08/21/2026, Victoria Fernandez</t>
        </is>
      </c>
      <c r="D84" s="76" t="inlineStr">
        <is>
          <t>T24 (row 52)</t>
        </is>
      </c>
      <c r="E84" s="76" t="inlineStr">
        <is>
          <t>"Approved": Digital Wealth.</t>
        </is>
      </c>
      <c r="F84" s="76" t="inlineStr">
        <is>
          <t>Approval evidence for 1 DIV records: approval evidence dated after 06/01/2026 (BCiC approval 08/21/2026), samples 1937</t>
        </is>
      </c>
      <c r="G84" s="77" t="inlineStr">
        <is>
          <t>PASS</t>
        </is>
      </c>
      <c r="H84" s="68" t="n"/>
      <c r="I84" s="68" t="n"/>
      <c r="J84" s="68" t="n"/>
      <c r="K84" s="68" t="n"/>
      <c r="L84" s="68" t="n"/>
      <c r="M84" s="68" t="n"/>
      <c r="N84" s="68" t="n"/>
      <c r="O84" s="68" t="n"/>
      <c r="P84" s="68" t="n"/>
      <c r="Q84" s="68" t="n"/>
      <c r="R84" s="68" t="n"/>
      <c r="S84" s="68" t="n"/>
      <c r="T84" s="68" t="n"/>
      <c r="U84" s="68" t="n"/>
      <c r="V84" s="68" t="n"/>
      <c r="W84" s="85" t="n"/>
      <c r="X84" s="85" t="n"/>
      <c r="Y84" s="85" t="n"/>
      <c r="Z84" s="85" t="n"/>
      <c r="AA84" s="85" t="n"/>
      <c r="AB84" s="85" t="n"/>
      <c r="AC84" s="85" t="n"/>
      <c r="AD84" s="85" t="n"/>
      <c r="AE84" s="85" t="n"/>
      <c r="AF84" s="85" t="n"/>
      <c r="AG84" s="85" t="n"/>
      <c r="AH84" s="85" t="n"/>
      <c r="AI84" s="85" t="n"/>
      <c r="AJ84" s="85" t="n"/>
      <c r="AK84" s="85" t="n"/>
      <c r="AL84" s="85" t="n"/>
      <c r="AM84" s="85" t="n"/>
      <c r="AN84" s="85" t="n"/>
      <c r="AO84" s="85" t="n"/>
      <c r="AP84" s="85" t="n"/>
      <c r="AQ84" s="85" t="n"/>
      <c r="AR84" s="85" t="n"/>
      <c r="AS84" s="85" t="n"/>
      <c r="AT84" s="85" t="n"/>
      <c r="AU84" s="85" t="n"/>
      <c r="AV84" s="85" t="n"/>
      <c r="AW84" s="85" t="n"/>
      <c r="AX84" s="85" t="n"/>
      <c r="AY84" s="85" t="n"/>
    </row>
    <row r="85" ht="46" customHeight="1" s="50">
      <c r="A85" s="76" t="inlineStr">
        <is>
          <t>DMA11</t>
        </is>
      </c>
      <c r="B85"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85" s="76" t="inlineStr">
        <is>
          <t>09/09/2026, Miguel Orozco</t>
        </is>
      </c>
      <c r="D85" s="76" t="inlineStr">
        <is>
          <t>T24 (rows 15, 50); Imaging101 (row 51)</t>
        </is>
      </c>
      <c r="E85" s="76" t="inlineStr">
        <is>
          <t>"I approve the integrity validation for the testing performed by the Commercial Middle Office."</t>
        </is>
      </c>
      <c r="F85" s="76" t="inlineStr">
        <is>
          <t>Approval evidence for 3 DIV records: approval evidence dated after 06/01/2026 (BCiC approval 09/09/2026), samples 3299, 1937</t>
        </is>
      </c>
      <c r="G85" s="77" t="inlineStr">
        <is>
          <t>PASS</t>
        </is>
      </c>
      <c r="H85" s="68" t="n"/>
      <c r="I85" s="68" t="n"/>
      <c r="J85" s="68" t="n"/>
      <c r="K85" s="68" t="n"/>
      <c r="L85" s="68" t="n"/>
      <c r="M85" s="68" t="n"/>
      <c r="N85" s="68" t="n"/>
      <c r="O85" s="68" t="n"/>
      <c r="P85" s="68" t="n"/>
      <c r="Q85" s="68" t="n"/>
      <c r="R85" s="68" t="n"/>
      <c r="S85" s="68" t="n"/>
      <c r="T85" s="68" t="n"/>
      <c r="U85" s="68" t="n"/>
      <c r="V85" s="68" t="n"/>
      <c r="W85" s="85" t="n"/>
      <c r="X85" s="85" t="n"/>
      <c r="Y85" s="85" t="n"/>
      <c r="Z85" s="85" t="n"/>
      <c r="AA85" s="85" t="n"/>
      <c r="AB85" s="85" t="n"/>
      <c r="AC85" s="85" t="n"/>
      <c r="AD85" s="85" t="n"/>
      <c r="AE85" s="85" t="n"/>
      <c r="AF85" s="85" t="n"/>
      <c r="AG85" s="85" t="n"/>
      <c r="AH85" s="85" t="n"/>
      <c r="AI85" s="85" t="n"/>
      <c r="AJ85" s="85" t="n"/>
      <c r="AK85" s="85" t="n"/>
      <c r="AL85" s="85" t="n"/>
      <c r="AM85" s="85" t="n"/>
      <c r="AN85" s="85" t="n"/>
      <c r="AO85" s="85" t="n"/>
      <c r="AP85" s="85" t="n"/>
      <c r="AQ85" s="85" t="n"/>
      <c r="AR85" s="85" t="n"/>
      <c r="AS85" s="85" t="n"/>
      <c r="AT85" s="85" t="n"/>
      <c r="AU85" s="85" t="n"/>
      <c r="AV85" s="85" t="n"/>
      <c r="AW85" s="85" t="n"/>
      <c r="AX85" s="85" t="n"/>
      <c r="AY85" s="85" t="n"/>
    </row>
    <row r="86" ht="46" customHeight="1" s="50">
      <c r="A86" s="76" t="inlineStr">
        <is>
          <t>DMA12</t>
        </is>
      </c>
      <c r="B86"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86" s="76" t="inlineStr">
        <is>
          <t>09/09/2026, Liliana Vizhnay</t>
        </is>
      </c>
      <c r="D86" s="76" t="inlineStr">
        <is>
          <t>T24 (row 49)</t>
        </is>
      </c>
      <c r="E86" s="76" t="inlineStr">
        <is>
          <t>"I approve.", Client Servicing Unit.</t>
        </is>
      </c>
      <c r="F86" s="76" t="inlineStr">
        <is>
          <t>Approval evidence for 1 DIV records: approval evidence dated after 06/01/2026 (BCiC approval 09/09/2026), samples 1937</t>
        </is>
      </c>
      <c r="G86" s="77" t="inlineStr">
        <is>
          <t>PASS</t>
        </is>
      </c>
      <c r="H86" s="68" t="n"/>
      <c r="I86" s="68" t="n"/>
      <c r="J86" s="68" t="n"/>
      <c r="K86" s="68" t="n"/>
      <c r="L86" s="68" t="n"/>
      <c r="M86" s="68" t="n"/>
      <c r="N86" s="68" t="n"/>
      <c r="O86" s="68" t="n"/>
      <c r="P86" s="68" t="n"/>
      <c r="Q86" s="68" t="n"/>
      <c r="R86" s="68" t="n"/>
      <c r="S86" s="68" t="n"/>
      <c r="T86" s="68" t="n"/>
      <c r="U86" s="68" t="n"/>
      <c r="V86" s="68" t="n"/>
      <c r="W86" s="85" t="n"/>
      <c r="X86" s="85" t="n"/>
      <c r="Y86" s="85" t="n"/>
      <c r="Z86" s="85" t="n"/>
      <c r="AA86" s="85" t="n"/>
      <c r="AB86" s="85" t="n"/>
      <c r="AC86" s="85" t="n"/>
      <c r="AD86" s="85" t="n"/>
      <c r="AE86" s="85" t="n"/>
      <c r="AF86" s="85" t="n"/>
      <c r="AG86" s="85" t="n"/>
      <c r="AH86" s="85" t="n"/>
      <c r="AI86" s="85" t="n"/>
      <c r="AJ86" s="85" t="n"/>
      <c r="AK86" s="85" t="n"/>
      <c r="AL86" s="85" t="n"/>
      <c r="AM86" s="85" t="n"/>
      <c r="AN86" s="85" t="n"/>
      <c r="AO86" s="85" t="n"/>
      <c r="AP86" s="85" t="n"/>
      <c r="AQ86" s="85" t="n"/>
      <c r="AR86" s="85" t="n"/>
      <c r="AS86" s="85" t="n"/>
      <c r="AT86" s="85" t="n"/>
      <c r="AU86" s="85" t="n"/>
      <c r="AV86" s="85" t="n"/>
      <c r="AW86" s="85" t="n"/>
      <c r="AX86" s="85" t="n"/>
      <c r="AY86" s="85" t="n"/>
    </row>
    <row r="87" ht="46" customHeight="1" s="50">
      <c r="A87" s="76" t="inlineStr">
        <is>
          <t>DMA13</t>
        </is>
      </c>
      <c r="B87"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87" s="76" t="inlineStr">
        <is>
          <t>09/09/2026, Elizabeth Noda</t>
        </is>
      </c>
      <c r="D87" s="76" t="inlineStr">
        <is>
          <t>Cisco Call Manager: not one of the 10 tested applications</t>
        </is>
      </c>
      <c r="E87" s="76" t="inlineStr">
        <is>
          <t>"approve": Cisco Call Manager (IT). Cisco Call Manager is NOT one of the 10 tested applications, retained for completeness only.</t>
        </is>
      </c>
      <c r="F87" s="76" t="inlineStr">
        <is>
          <t>Out of scope: retained for completeness, samples: none</t>
        </is>
      </c>
      <c r="G87" s="79" t="inlineStr">
        <is>
          <t>N/A (supplemental, not relied on)</t>
        </is>
      </c>
      <c r="H87" s="68" t="n"/>
      <c r="I87" s="68" t="n"/>
      <c r="J87" s="68" t="n"/>
      <c r="K87" s="68" t="n"/>
      <c r="L87" s="68" t="n"/>
      <c r="M87" s="68" t="n"/>
      <c r="N87" s="68" t="n"/>
      <c r="O87" s="68" t="n"/>
      <c r="P87" s="68" t="n"/>
      <c r="Q87" s="68" t="n"/>
      <c r="R87" s="68" t="n"/>
      <c r="S87" s="68" t="n"/>
      <c r="T87" s="68" t="n"/>
      <c r="U87" s="68" t="n"/>
      <c r="V87" s="68" t="n"/>
      <c r="W87" s="85" t="n"/>
      <c r="X87" s="85" t="n"/>
      <c r="Y87" s="85" t="n"/>
      <c r="Z87" s="85" t="n"/>
      <c r="AA87" s="85" t="n"/>
      <c r="AB87" s="85" t="n"/>
      <c r="AC87" s="85" t="n"/>
      <c r="AD87" s="85" t="n"/>
      <c r="AE87" s="85" t="n"/>
      <c r="AF87" s="85" t="n"/>
      <c r="AG87" s="85" t="n"/>
      <c r="AH87" s="85" t="n"/>
      <c r="AI87" s="85" t="n"/>
      <c r="AJ87" s="85" t="n"/>
      <c r="AK87" s="85" t="n"/>
      <c r="AL87" s="85" t="n"/>
      <c r="AM87" s="85" t="n"/>
      <c r="AN87" s="85" t="n"/>
      <c r="AO87" s="85" t="n"/>
      <c r="AP87" s="85" t="n"/>
      <c r="AQ87" s="85" t="n"/>
      <c r="AR87" s="85" t="n"/>
      <c r="AS87" s="85" t="n"/>
      <c r="AT87" s="85" t="n"/>
      <c r="AU87" s="85" t="n"/>
      <c r="AV87" s="85" t="n"/>
      <c r="AW87" s="85" t="n"/>
      <c r="AX87" s="85" t="n"/>
      <c r="AY87" s="85" t="n"/>
    </row>
    <row r="88">
      <c r="A88" s="74" t="n"/>
      <c r="B88" s="74" t="n"/>
      <c r="C88" s="74" t="n"/>
      <c r="D88" s="74" t="n"/>
      <c r="E88" s="74" t="n"/>
      <c r="F88" s="74" t="n"/>
      <c r="G88" s="74" t="n"/>
      <c r="H88" s="68" t="n"/>
      <c r="I88" s="68" t="n"/>
      <c r="J88" s="68" t="n"/>
      <c r="K88" s="68" t="n"/>
      <c r="L88" s="68" t="n"/>
      <c r="M88" s="68" t="n"/>
      <c r="N88" s="68" t="n"/>
      <c r="O88" s="68" t="n"/>
      <c r="P88" s="68" t="n"/>
      <c r="Q88" s="68" t="n"/>
      <c r="R88" s="68" t="n"/>
      <c r="S88" s="68" t="n"/>
      <c r="T88" s="68" t="n"/>
      <c r="U88" s="68" t="n"/>
      <c r="V88" s="68" t="n"/>
      <c r="W88" s="85" t="n"/>
      <c r="X88" s="85" t="n"/>
      <c r="Y88" s="85" t="n"/>
      <c r="Z88" s="85" t="n"/>
      <c r="AA88" s="85" t="n"/>
      <c r="AB88" s="85" t="n"/>
      <c r="AC88" s="85" t="n"/>
      <c r="AD88" s="85" t="n"/>
      <c r="AE88" s="85" t="n"/>
      <c r="AF88" s="85" t="n"/>
      <c r="AG88" s="85" t="n"/>
      <c r="AH88" s="85" t="n"/>
      <c r="AI88" s="85" t="n"/>
      <c r="AJ88" s="85" t="n"/>
      <c r="AK88" s="85" t="n"/>
      <c r="AL88" s="85" t="n"/>
      <c r="AM88" s="85" t="n"/>
      <c r="AN88" s="85" t="n"/>
      <c r="AO88" s="85" t="n"/>
      <c r="AP88" s="85" t="n"/>
      <c r="AQ88" s="85" t="n"/>
      <c r="AR88" s="85" t="n"/>
      <c r="AS88" s="85" t="n"/>
      <c r="AT88" s="85" t="n"/>
      <c r="AU88" s="85" t="n"/>
      <c r="AV88" s="85" t="n"/>
      <c r="AW88" s="85" t="n"/>
      <c r="AX88" s="85" t="n"/>
      <c r="AY88" s="85" t="n"/>
    </row>
    <row r="89" ht="15.5" customHeight="1" s="50">
      <c r="A89" s="71" t="inlineStr">
        <is>
          <t>Management Attestation / In-Scope Applications (folder 01) and Data Integrity &amp; Email Testing Evidence (folder 04), Review</t>
        </is>
      </c>
      <c r="B89" s="97" t="n"/>
      <c r="C89" s="97" t="n"/>
      <c r="D89" s="97" t="n"/>
      <c r="E89" s="97" t="n"/>
      <c r="F89" s="97" t="n"/>
      <c r="G89" s="98" t="n"/>
      <c r="H89" s="68" t="n"/>
      <c r="I89" s="68" t="n"/>
      <c r="J89" s="68" t="n"/>
      <c r="K89" s="68" t="n"/>
      <c r="L89" s="68" t="n"/>
      <c r="M89" s="68" t="n"/>
      <c r="N89" s="68" t="n"/>
      <c r="O89" s="68" t="n"/>
      <c r="P89" s="68" t="n"/>
      <c r="Q89" s="68" t="n"/>
      <c r="R89" s="68" t="n"/>
      <c r="S89" s="68" t="n"/>
      <c r="T89" s="68" t="n"/>
      <c r="U89" s="68" t="n"/>
      <c r="V89" s="68" t="n"/>
      <c r="W89" s="85" t="n"/>
      <c r="X89" s="85" t="n"/>
      <c r="Y89" s="85" t="n"/>
      <c r="Z89" s="85" t="n"/>
      <c r="AA89" s="85" t="n"/>
      <c r="AB89" s="85" t="n"/>
      <c r="AC89" s="85" t="n"/>
      <c r="AD89" s="85" t="n"/>
      <c r="AE89" s="85" t="n"/>
      <c r="AF89" s="85" t="n"/>
      <c r="AG89" s="85" t="n"/>
      <c r="AH89" s="85" t="n"/>
      <c r="AI89" s="85" t="n"/>
      <c r="AJ89" s="85" t="n"/>
      <c r="AK89" s="85" t="n"/>
      <c r="AL89" s="85" t="n"/>
      <c r="AM89" s="85" t="n"/>
      <c r="AN89" s="85" t="n"/>
      <c r="AO89" s="85" t="n"/>
      <c r="AP89" s="85" t="n"/>
      <c r="AQ89" s="85" t="n"/>
      <c r="AR89" s="85" t="n"/>
      <c r="AS89" s="85" t="n"/>
      <c r="AT89" s="85" t="n"/>
      <c r="AU89" s="85" t="n"/>
      <c r="AV89" s="85" t="n"/>
      <c r="AW89" s="85" t="n"/>
      <c r="AX89" s="85" t="n"/>
      <c r="AY89" s="85" t="n"/>
    </row>
    <row r="90" ht="26" customHeight="1" s="50">
      <c r="A90" s="73" t="inlineStr">
        <is>
          <t>Ref</t>
        </is>
      </c>
      <c r="B90" s="73" t="inlineStr">
        <is>
          <t>Evidence file (repository location)</t>
        </is>
      </c>
      <c r="C90" s="73" t="inlineStr">
        <is>
          <t>Date / owner</t>
        </is>
      </c>
      <c r="D90" s="73" t="inlineStr">
        <is>
          <t>Type</t>
        </is>
      </c>
      <c r="E90" s="73" t="inlineStr">
        <is>
          <t>Content reviewed</t>
        </is>
      </c>
      <c r="F90" s="73" t="inlineStr">
        <is>
          <t>Samples / workpaper columns supported</t>
        </is>
      </c>
      <c r="G90" s="73" t="inlineStr">
        <is>
          <t>Control Sample Assessment Result (Pass/Fail)</t>
        </is>
      </c>
      <c r="H90" s="68" t="n"/>
      <c r="I90" s="68" t="n"/>
      <c r="J90" s="68" t="n"/>
      <c r="K90" s="68" t="n"/>
      <c r="L90" s="68" t="n"/>
      <c r="M90" s="68" t="n"/>
      <c r="N90" s="68" t="n"/>
      <c r="O90" s="68" t="n"/>
      <c r="P90" s="68" t="n"/>
      <c r="Q90" s="68" t="n"/>
      <c r="R90" s="68" t="n"/>
      <c r="S90" s="68" t="n"/>
      <c r="T90" s="68" t="n"/>
      <c r="U90" s="68" t="n"/>
      <c r="V90" s="68" t="n"/>
      <c r="W90" s="85" t="n"/>
      <c r="X90" s="85" t="n"/>
      <c r="Y90" s="85" t="n"/>
      <c r="Z90" s="85" t="n"/>
      <c r="AA90" s="85" t="n"/>
      <c r="AB90" s="85" t="n"/>
      <c r="AC90" s="85" t="n"/>
      <c r="AD90" s="85" t="n"/>
      <c r="AE90" s="85" t="n"/>
      <c r="AF90" s="85" t="n"/>
      <c r="AG90" s="85" t="n"/>
      <c r="AH90" s="85" t="n"/>
      <c r="AI90" s="85" t="n"/>
      <c r="AJ90" s="85" t="n"/>
      <c r="AK90" s="85" t="n"/>
      <c r="AL90" s="85" t="n"/>
      <c r="AM90" s="85" t="n"/>
      <c r="AN90" s="85" t="n"/>
      <c r="AO90" s="85" t="n"/>
      <c r="AP90" s="85" t="n"/>
      <c r="AQ90" s="85" t="n"/>
      <c r="AR90" s="85" t="n"/>
      <c r="AS90" s="85" t="n"/>
      <c r="AT90" s="85" t="n"/>
      <c r="AU90" s="85" t="n"/>
      <c r="AV90" s="85" t="n"/>
      <c r="AW90" s="85" t="n"/>
      <c r="AX90" s="85" t="n"/>
      <c r="AY90" s="85" t="n"/>
    </row>
    <row r="91" ht="76" customHeight="1" s="50">
      <c r="A91" s="76" t="inlineStr">
        <is>
          <t>MA01</t>
        </is>
      </c>
      <c r="B91"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1" s="76" t="inlineStr">
        <is>
          <t>09/23/2026, Cesar Vidal (BCiC walkthrough)</t>
        </is>
      </c>
      <c r="D91" s="76" t="inlineStr">
        <is>
          <t>BCiC screenshot</t>
        </is>
      </c>
      <c r="E91"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1" s="76" t="inlineStr">
        <is>
          <t>Samples: 1822, 1867, 1868, 3299, 4052, 3301, 1903, 1917, 1936, 1937; columns: D, K, N</t>
        </is>
      </c>
      <c r="G91" s="77" t="inlineStr">
        <is>
          <t>PASS</t>
        </is>
      </c>
      <c r="H91" s="68" t="n"/>
      <c r="I91" s="68" t="n"/>
      <c r="J91" s="68" t="n"/>
      <c r="K91" s="68" t="n"/>
      <c r="L91" s="68" t="n"/>
      <c r="M91" s="68" t="n"/>
      <c r="N91" s="68" t="n"/>
      <c r="O91" s="68" t="n"/>
      <c r="P91" s="68" t="n"/>
      <c r="Q91" s="68" t="n"/>
      <c r="R91" s="68" t="n"/>
      <c r="S91" s="68" t="n"/>
      <c r="T91" s="68" t="n"/>
      <c r="U91" s="68" t="n"/>
      <c r="V91" s="68" t="n"/>
      <c r="W91" s="85" t="n"/>
      <c r="X91" s="85" t="n"/>
      <c r="Y91" s="85" t="n"/>
      <c r="Z91" s="85" t="n"/>
      <c r="AA91" s="85" t="n"/>
      <c r="AB91" s="85" t="n"/>
      <c r="AC91" s="85" t="n"/>
      <c r="AD91" s="85" t="n"/>
      <c r="AE91" s="85" t="n"/>
      <c r="AF91" s="85" t="n"/>
      <c r="AG91" s="85" t="n"/>
      <c r="AH91" s="85" t="n"/>
      <c r="AI91" s="85" t="n"/>
      <c r="AJ91" s="85" t="n"/>
      <c r="AK91" s="85" t="n"/>
      <c r="AL91" s="85" t="n"/>
      <c r="AM91" s="85" t="n"/>
      <c r="AN91" s="85" t="n"/>
      <c r="AO91" s="85" t="n"/>
      <c r="AP91" s="85" t="n"/>
      <c r="AQ91" s="85" t="n"/>
      <c r="AR91" s="85" t="n"/>
      <c r="AS91" s="85" t="n"/>
      <c r="AT91" s="85" t="n"/>
      <c r="AU91" s="85" t="n"/>
      <c r="AV91" s="85" t="n"/>
      <c r="AW91" s="85" t="n"/>
      <c r="AX91" s="85" t="n"/>
      <c r="AY91" s="85" t="n"/>
    </row>
    <row r="92" ht="46" customHeight="1" s="50">
      <c r="A92" s="76" t="inlineStr">
        <is>
          <t>E01</t>
        </is>
      </c>
      <c r="B92"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2" s="76" t="inlineStr">
        <is>
          <t>BCiC: Applications In Scope for DR Test BSI</t>
        </is>
      </c>
      <c r="D92" s="76" t="inlineStr">
        <is>
          <t>BCiC export</t>
        </is>
      </c>
      <c r="E92" s="76" t="inlineStr">
        <is>
          <t>BCiC export of the BSI DR-scope population (43 applications) with Exercise Date and 2025 DR / Backup-Restore / DIV scope flags.</t>
        </is>
      </c>
      <c r="F92" s="76" t="inlineStr">
        <is>
          <t>Samples: 1822, 1867, 1868, 3299, 4052, 3301, 1903, 1917, 1936, 1937; columns: B, C, D, K, L, N</t>
        </is>
      </c>
      <c r="G92" s="77" t="inlineStr">
        <is>
          <t>PASS</t>
        </is>
      </c>
      <c r="H92" s="68" t="n"/>
      <c r="I92" s="68" t="n"/>
      <c r="J92" s="68" t="n"/>
      <c r="K92" s="68" t="n"/>
      <c r="L92" s="68" t="n"/>
      <c r="M92" s="68" t="n"/>
      <c r="N92" s="68" t="n"/>
      <c r="O92" s="68" t="n"/>
      <c r="P92" s="68" t="n"/>
      <c r="Q92" s="68" t="n"/>
      <c r="R92" s="68" t="n"/>
      <c r="S92" s="68" t="n"/>
      <c r="T92" s="68" t="n"/>
      <c r="U92" s="68" t="n"/>
      <c r="V92" s="68" t="n"/>
      <c r="W92" s="85" t="n"/>
      <c r="X92" s="85" t="n"/>
      <c r="Y92" s="85" t="n"/>
      <c r="Z92" s="85" t="n"/>
      <c r="AA92" s="85" t="n"/>
      <c r="AB92" s="85" t="n"/>
      <c r="AC92" s="85" t="n"/>
      <c r="AD92" s="85" t="n"/>
      <c r="AE92" s="85" t="n"/>
      <c r="AF92" s="85" t="n"/>
      <c r="AG92" s="85" t="n"/>
      <c r="AH92" s="85" t="n"/>
      <c r="AI92" s="85" t="n"/>
      <c r="AJ92" s="85" t="n"/>
      <c r="AK92" s="85" t="n"/>
      <c r="AL92" s="85" t="n"/>
      <c r="AM92" s="85" t="n"/>
      <c r="AN92" s="85" t="n"/>
      <c r="AO92" s="85" t="n"/>
      <c r="AP92" s="85" t="n"/>
      <c r="AQ92" s="85" t="n"/>
      <c r="AR92" s="85" t="n"/>
      <c r="AS92" s="85" t="n"/>
      <c r="AT92" s="85" t="n"/>
      <c r="AU92" s="85" t="n"/>
      <c r="AV92" s="85" t="n"/>
      <c r="AW92" s="85" t="n"/>
      <c r="AX92" s="85" t="n"/>
      <c r="AY92" s="85" t="n"/>
    </row>
    <row r="93" ht="46" customHeight="1" s="50">
      <c r="A93" s="76" t="inlineStr">
        <is>
          <t>E02</t>
        </is>
      </c>
      <c r="B93"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93" s="76" t="inlineStr">
        <is>
          <t>09/10/2026, Cesar Vidal</t>
        </is>
      </c>
      <c r="D93" s="76" t="inlineStr">
        <is>
          <t>BCiC screenshot</t>
        </is>
      </c>
      <c r="E93" s="76" t="inlineStr">
        <is>
          <t>BCiC Applications screen with view 'Applications In Scope for DR Test BSI' selected (1 to 20 of 43 items).</t>
        </is>
      </c>
      <c r="F93" s="76" t="inlineStr">
        <is>
          <t>Samples: 1822, 1867, 1868, 3299, 4052, 3301, 1903, 1917, 1936, 1937; columns: D, K, N</t>
        </is>
      </c>
      <c r="G93" s="77" t="inlineStr">
        <is>
          <t>PASS</t>
        </is>
      </c>
      <c r="H93" s="68" t="n"/>
      <c r="I93" s="68" t="n"/>
      <c r="J93" s="68" t="n"/>
      <c r="K93" s="68" t="n"/>
      <c r="L93" s="68" t="n"/>
      <c r="M93" s="68" t="n"/>
      <c r="N93" s="68" t="n"/>
      <c r="O93" s="68" t="n"/>
      <c r="P93" s="68" t="n"/>
      <c r="Q93" s="68" t="n"/>
      <c r="R93" s="68" t="n"/>
      <c r="S93" s="68" t="n"/>
      <c r="T93" s="68" t="n"/>
      <c r="U93" s="68" t="n"/>
      <c r="V93" s="68" t="n"/>
      <c r="W93" s="85" t="n"/>
      <c r="X93" s="85" t="n"/>
      <c r="Y93" s="85" t="n"/>
      <c r="Z93" s="85" t="n"/>
      <c r="AA93" s="85" t="n"/>
      <c r="AB93" s="85" t="n"/>
      <c r="AC93" s="85" t="n"/>
      <c r="AD93" s="85" t="n"/>
      <c r="AE93" s="85" t="n"/>
      <c r="AF93" s="85" t="n"/>
      <c r="AG93" s="85" t="n"/>
      <c r="AH93" s="85" t="n"/>
      <c r="AI93" s="85" t="n"/>
      <c r="AJ93" s="85" t="n"/>
      <c r="AK93" s="85" t="n"/>
      <c r="AL93" s="85" t="n"/>
      <c r="AM93" s="85" t="n"/>
      <c r="AN93" s="85" t="n"/>
      <c r="AO93" s="85" t="n"/>
      <c r="AP93" s="85" t="n"/>
      <c r="AQ93" s="85" t="n"/>
      <c r="AR93" s="85" t="n"/>
      <c r="AS93" s="85" t="n"/>
      <c r="AT93" s="85" t="n"/>
      <c r="AU93" s="85" t="n"/>
      <c r="AV93" s="85" t="n"/>
      <c r="AW93" s="85" t="n"/>
      <c r="AX93" s="85" t="n"/>
      <c r="AY93" s="85" t="n"/>
    </row>
    <row r="94" ht="52" customHeight="1" s="50">
      <c r="A94" s="76" t="inlineStr">
        <is>
          <t>E03</t>
        </is>
      </c>
      <c r="B94"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94" s="76" t="inlineStr">
        <is>
          <t>BCiC: Data Integrity Validation Testing (62 records)</t>
        </is>
      </c>
      <c r="D94" s="76" t="inlineStr">
        <is>
          <t>BCiC export</t>
        </is>
      </c>
      <c r="E94" s="76" t="inlineStr">
        <is>
          <t>BCiC DIV export incl. Business Tester, Business Data Validation Date, Department Manager, Department Manager Approval Date, Y/N Format/Headers/Content, Attestation Date / Provided By. Row numbers quoted are Excel rows.</t>
        </is>
      </c>
      <c r="F94" s="76" t="inlineStr">
        <is>
          <t>Samples: 1822, 1867, 1868, 3299, 4052, 3301, 1903, 1917, 1936, 1937; columns: B, C, D, E, F, G, H, I, K, L, M, O, P</t>
        </is>
      </c>
      <c r="G94" s="77" t="inlineStr">
        <is>
          <t>PASS</t>
        </is>
      </c>
      <c r="H94" s="68" t="n"/>
      <c r="I94" s="68" t="n"/>
      <c r="J94" s="68" t="n"/>
      <c r="K94" s="68" t="n"/>
      <c r="L94" s="68" t="n"/>
      <c r="M94" s="68" t="n"/>
      <c r="N94" s="68" t="n"/>
      <c r="O94" s="68" t="n"/>
      <c r="P94" s="68" t="n"/>
      <c r="Q94" s="68" t="n"/>
      <c r="R94" s="68" t="n"/>
      <c r="S94" s="68" t="n"/>
      <c r="T94" s="68" t="n"/>
      <c r="U94" s="68" t="n"/>
      <c r="V94" s="68" t="n"/>
      <c r="W94" s="85" t="n"/>
      <c r="X94" s="85" t="n"/>
      <c r="Y94" s="85" t="n"/>
      <c r="Z94" s="85" t="n"/>
      <c r="AA94" s="85" t="n"/>
      <c r="AB94" s="85" t="n"/>
      <c r="AC94" s="85" t="n"/>
      <c r="AD94" s="85" t="n"/>
      <c r="AE94" s="85" t="n"/>
      <c r="AF94" s="85" t="n"/>
      <c r="AG94" s="85" t="n"/>
      <c r="AH94" s="85" t="n"/>
      <c r="AI94" s="85" t="n"/>
      <c r="AJ94" s="85" t="n"/>
      <c r="AK94" s="85" t="n"/>
      <c r="AL94" s="85" t="n"/>
      <c r="AM94" s="85" t="n"/>
      <c r="AN94" s="85" t="n"/>
      <c r="AO94" s="85" t="n"/>
      <c r="AP94" s="85" t="n"/>
      <c r="AQ94" s="85" t="n"/>
      <c r="AR94" s="85" t="n"/>
      <c r="AS94" s="85" t="n"/>
      <c r="AT94" s="85" t="n"/>
      <c r="AU94" s="85" t="n"/>
      <c r="AV94" s="85" t="n"/>
      <c r="AW94" s="85" t="n"/>
      <c r="AX94" s="85" t="n"/>
      <c r="AY94" s="85" t="n"/>
    </row>
    <row r="95" ht="46" customHeight="1" s="50">
      <c r="A95" s="76" t="inlineStr">
        <is>
          <t>E04</t>
        </is>
      </c>
      <c r="B95"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95" s="76" t="inlineStr">
        <is>
          <t>09/10/2026, Cesar Vidal</t>
        </is>
      </c>
      <c r="D95" s="76" t="inlineStr">
        <is>
          <t>BCiC screenshot</t>
        </is>
      </c>
      <c r="E95" s="76" t="inlineStr">
        <is>
          <t>BCiC 'Data Integrity Validation Testing' screen (1 to 20 of 66 items) showing tester, validation date, manager, approval date, Y/N results and attestation fields.</t>
        </is>
      </c>
      <c r="F95" s="76" t="inlineStr">
        <is>
          <t>Samples: 1822, 1867, 1868, 3299, 4052, 3301, 1903, 1917, 1936, 1937; columns: D, E, F, G, H, K, P</t>
        </is>
      </c>
      <c r="G95" s="77" t="inlineStr">
        <is>
          <t>PASS</t>
        </is>
      </c>
      <c r="H95" s="68" t="n"/>
      <c r="I95" s="68" t="n"/>
      <c r="J95" s="68" t="n"/>
      <c r="K95" s="68" t="n"/>
      <c r="L95" s="68" t="n"/>
      <c r="M95" s="68" t="n"/>
      <c r="N95" s="68" t="n"/>
      <c r="O95" s="68" t="n"/>
      <c r="P95" s="68" t="n"/>
      <c r="Q95" s="68" t="n"/>
      <c r="R95" s="68" t="n"/>
      <c r="S95" s="68" t="n"/>
      <c r="T95" s="68" t="n"/>
      <c r="U95" s="68" t="n"/>
      <c r="V95" s="68" t="n"/>
      <c r="W95" s="85" t="n"/>
      <c r="X95" s="85" t="n"/>
      <c r="Y95" s="85" t="n"/>
      <c r="Z95" s="85" t="n"/>
      <c r="AA95" s="85" t="n"/>
      <c r="AB95" s="85" t="n"/>
      <c r="AC95" s="85" t="n"/>
      <c r="AD95" s="85" t="n"/>
      <c r="AE95" s="85" t="n"/>
      <c r="AF95" s="85" t="n"/>
      <c r="AG95" s="85" t="n"/>
      <c r="AH95" s="85" t="n"/>
      <c r="AI95" s="85" t="n"/>
      <c r="AJ95" s="85" t="n"/>
      <c r="AK95" s="85" t="n"/>
      <c r="AL95" s="85" t="n"/>
      <c r="AM95" s="85" t="n"/>
      <c r="AN95" s="85" t="n"/>
      <c r="AO95" s="85" t="n"/>
      <c r="AP95" s="85" t="n"/>
      <c r="AQ95" s="85" t="n"/>
      <c r="AR95" s="85" t="n"/>
      <c r="AS95" s="85" t="n"/>
      <c r="AT95" s="85" t="n"/>
      <c r="AU95" s="85" t="n"/>
      <c r="AV95" s="85" t="n"/>
      <c r="AW95" s="85" t="n"/>
      <c r="AX95" s="85" t="n"/>
      <c r="AY95" s="85" t="n"/>
    </row>
    <row r="96" ht="46" customHeight="1" s="50">
      <c r="A96" s="76" t="inlineStr">
        <is>
          <t>E05</t>
        </is>
      </c>
      <c r="B96"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96" s="76" t="inlineStr">
        <is>
          <t>09/15/2025, Elizabeth Noda</t>
        </is>
      </c>
      <c r="D96" s="76" t="inlineStr">
        <is>
          <t>Meeting invite</t>
        </is>
      </c>
      <c r="E96" s="76" t="inlineStr">
        <is>
          <t>IT DR meeting invite to review the 2025 BIA results and applications list ahead of the DR exercise (same invite re-sent 09/18/2025, duplicate E06 removed).</t>
        </is>
      </c>
      <c r="F96" s="76" t="inlineStr">
        <is>
          <t>Samples: 1822, 1867, 1868, 3299, 4052, 3301, 1903, 1917, 1936, 1937; columns: M, N</t>
        </is>
      </c>
      <c r="G96" s="77" t="inlineStr">
        <is>
          <t>PASS</t>
        </is>
      </c>
      <c r="H96" s="68" t="n"/>
      <c r="I96" s="68" t="n"/>
      <c r="J96" s="68" t="n"/>
      <c r="K96" s="68" t="n"/>
      <c r="L96" s="68" t="n"/>
      <c r="M96" s="68" t="n"/>
      <c r="N96" s="68" t="n"/>
      <c r="O96" s="68" t="n"/>
      <c r="P96" s="68" t="n"/>
      <c r="Q96" s="68" t="n"/>
      <c r="R96" s="68" t="n"/>
      <c r="S96" s="68" t="n"/>
      <c r="T96" s="68" t="n"/>
      <c r="U96" s="68" t="n"/>
      <c r="V96" s="68" t="n"/>
      <c r="W96" s="85" t="n"/>
      <c r="X96" s="85" t="n"/>
      <c r="Y96" s="85" t="n"/>
      <c r="Z96" s="85" t="n"/>
      <c r="AA96" s="85" t="n"/>
      <c r="AB96" s="85" t="n"/>
      <c r="AC96" s="85" t="n"/>
      <c r="AD96" s="85" t="n"/>
      <c r="AE96" s="85" t="n"/>
      <c r="AF96" s="85" t="n"/>
      <c r="AG96" s="85" t="n"/>
      <c r="AH96" s="85" t="n"/>
      <c r="AI96" s="85" t="n"/>
      <c r="AJ96" s="85" t="n"/>
      <c r="AK96" s="85" t="n"/>
      <c r="AL96" s="85" t="n"/>
      <c r="AM96" s="85" t="n"/>
      <c r="AN96" s="85" t="n"/>
      <c r="AO96" s="85" t="n"/>
      <c r="AP96" s="85" t="n"/>
      <c r="AQ96" s="85" t="n"/>
      <c r="AR96" s="85" t="n"/>
      <c r="AS96" s="85" t="n"/>
      <c r="AT96" s="85" t="n"/>
      <c r="AU96" s="85" t="n"/>
      <c r="AV96" s="85" t="n"/>
      <c r="AW96" s="85" t="n"/>
      <c r="AX96" s="85" t="n"/>
      <c r="AY96" s="85" t="n"/>
    </row>
    <row r="97" ht="148" customHeight="1" s="50">
      <c r="A97" s="76" t="inlineStr">
        <is>
          <t>E07</t>
        </is>
      </c>
      <c r="B97"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97" s="76" t="inlineStr">
        <is>
          <t>11/15/2025, Frank Puentes</t>
        </is>
      </c>
      <c r="D97" s="76" t="inlineStr">
        <is>
          <t>Email + report attachments</t>
        </is>
      </c>
      <c r="E97"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97" s="76" t="inlineStr">
        <is>
          <t>Samples: 3301, 1903, 1936, 1937; columns: F</t>
        </is>
      </c>
      <c r="G97" s="77" t="inlineStr">
        <is>
          <t>PASS</t>
        </is>
      </c>
      <c r="H97" s="68" t="n"/>
      <c r="I97" s="68" t="n"/>
      <c r="J97" s="68" t="n"/>
      <c r="K97" s="68" t="n"/>
      <c r="L97" s="68" t="n"/>
      <c r="M97" s="68" t="n"/>
      <c r="N97" s="68" t="n"/>
      <c r="O97" s="68" t="n"/>
      <c r="P97" s="68" t="n"/>
      <c r="Q97" s="68" t="n"/>
      <c r="R97" s="68" t="n"/>
      <c r="S97" s="68" t="n"/>
      <c r="T97" s="68" t="n"/>
      <c r="U97" s="68" t="n"/>
      <c r="V97" s="68" t="n"/>
      <c r="W97" s="85" t="n"/>
      <c r="X97" s="85" t="n"/>
      <c r="Y97" s="85" t="n"/>
      <c r="Z97" s="85" t="n"/>
      <c r="AA97" s="85" t="n"/>
      <c r="AB97" s="85" t="n"/>
      <c r="AC97" s="85" t="n"/>
      <c r="AD97" s="85" t="n"/>
      <c r="AE97" s="85" t="n"/>
      <c r="AF97" s="85" t="n"/>
      <c r="AG97" s="85" t="n"/>
      <c r="AH97" s="85" t="n"/>
      <c r="AI97" s="85" t="n"/>
      <c r="AJ97" s="85" t="n"/>
      <c r="AK97" s="85" t="n"/>
      <c r="AL97" s="85" t="n"/>
      <c r="AM97" s="85" t="n"/>
      <c r="AN97" s="85" t="n"/>
      <c r="AO97" s="85" t="n"/>
      <c r="AP97" s="85" t="n"/>
      <c r="AQ97" s="85" t="n"/>
      <c r="AR97" s="85" t="n"/>
      <c r="AS97" s="85" t="n"/>
      <c r="AT97" s="85" t="n"/>
      <c r="AU97" s="85" t="n"/>
      <c r="AV97" s="85" t="n"/>
      <c r="AW97" s="85" t="n"/>
      <c r="AX97" s="85" t="n"/>
      <c r="AY97" s="85" t="n"/>
    </row>
    <row r="98" ht="160" customHeight="1" s="50">
      <c r="A98" s="76" t="inlineStr">
        <is>
          <t>E08</t>
        </is>
      </c>
      <c r="B98"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98" s="76" t="inlineStr">
        <is>
          <t>11/15/2025, Frank Puentes</t>
        </is>
      </c>
      <c r="D98" s="76" t="inlineStr">
        <is>
          <t>Email + report attachments</t>
        </is>
      </c>
      <c r="E98"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98" s="76" t="inlineStr">
        <is>
          <t>Samples: 3301, 1903, 1936, 1937; columns: F, M</t>
        </is>
      </c>
      <c r="G98" s="77" t="inlineStr">
        <is>
          <t>PASS</t>
        </is>
      </c>
      <c r="H98" s="68" t="n"/>
      <c r="I98" s="68" t="n"/>
      <c r="J98" s="68" t="n"/>
      <c r="K98" s="68" t="n"/>
      <c r="L98" s="68" t="n"/>
      <c r="M98" s="68" t="n"/>
      <c r="N98" s="68" t="n"/>
      <c r="O98" s="68" t="n"/>
      <c r="P98" s="68" t="n"/>
      <c r="Q98" s="68" t="n"/>
      <c r="R98" s="68" t="n"/>
      <c r="S98" s="68" t="n"/>
      <c r="T98" s="68" t="n"/>
      <c r="U98" s="68" t="n"/>
      <c r="V98" s="68" t="n"/>
      <c r="W98" s="85" t="n"/>
      <c r="X98" s="85" t="n"/>
      <c r="Y98" s="85" t="n"/>
      <c r="Z98" s="85" t="n"/>
      <c r="AA98" s="85" t="n"/>
      <c r="AB98" s="85" t="n"/>
      <c r="AC98" s="85" t="n"/>
      <c r="AD98" s="85" t="n"/>
      <c r="AE98" s="85" t="n"/>
      <c r="AF98" s="85" t="n"/>
      <c r="AG98" s="85" t="n"/>
      <c r="AH98" s="85" t="n"/>
      <c r="AI98" s="85" t="n"/>
      <c r="AJ98" s="85" t="n"/>
      <c r="AK98" s="85" t="n"/>
      <c r="AL98" s="85" t="n"/>
      <c r="AM98" s="85" t="n"/>
      <c r="AN98" s="85" t="n"/>
      <c r="AO98" s="85" t="n"/>
      <c r="AP98" s="85" t="n"/>
      <c r="AQ98" s="85" t="n"/>
      <c r="AR98" s="85" t="n"/>
      <c r="AS98" s="85" t="n"/>
      <c r="AT98" s="85" t="n"/>
      <c r="AU98" s="85" t="n"/>
      <c r="AV98" s="85" t="n"/>
      <c r="AW98" s="85" t="n"/>
      <c r="AX98" s="85" t="n"/>
      <c r="AY98" s="85" t="n"/>
    </row>
    <row r="99" ht="52" customHeight="1" s="50">
      <c r="A99" s="76" t="inlineStr">
        <is>
          <t>E09</t>
        </is>
      </c>
      <c r="B99"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99" s="76" t="inlineStr">
        <is>
          <t>03/03/2026 to 05/05/2026: Claudia Romero</t>
        </is>
      </c>
      <c r="D99" s="76" t="inlineStr">
        <is>
          <t>Email approval</t>
        </is>
      </c>
      <c r="E99" s="76" t="inlineStr">
        <is>
          <t>Client Back Office test evidence (Mariorly Morales, Ilumel Rodriguez, Rolando Bonilla) and Claudia Romero "Approved." 05/05/2026. Thread maps ACH Express, FedExport, FedImport, Imaging101 to Client Back Office / Claudia Romero.</t>
        </is>
      </c>
      <c r="F99" s="76" t="inlineStr">
        <is>
          <t>Samples: 1822, 1867, 1868, 3299, 1937; columns: E, G, H, J, M, N, O</t>
        </is>
      </c>
      <c r="G99" s="77" t="inlineStr">
        <is>
          <t>PASS</t>
        </is>
      </c>
      <c r="H99" s="68" t="n"/>
      <c r="I99" s="68" t="n"/>
      <c r="J99" s="68" t="n"/>
      <c r="K99" s="68" t="n"/>
      <c r="L99" s="68" t="n"/>
      <c r="M99" s="68" t="n"/>
      <c r="N99" s="68" t="n"/>
      <c r="O99" s="68" t="n"/>
      <c r="P99" s="68" t="n"/>
      <c r="Q99" s="68" t="n"/>
      <c r="R99" s="68" t="n"/>
      <c r="S99" s="68" t="n"/>
      <c r="T99" s="68" t="n"/>
      <c r="U99" s="68" t="n"/>
      <c r="V99" s="68" t="n"/>
      <c r="W99" s="85" t="n"/>
      <c r="X99" s="85" t="n"/>
      <c r="Y99" s="85" t="n"/>
      <c r="Z99" s="85" t="n"/>
      <c r="AA99" s="85" t="n"/>
      <c r="AB99" s="85" t="n"/>
      <c r="AC99" s="85" t="n"/>
      <c r="AD99" s="85" t="n"/>
      <c r="AE99" s="85" t="n"/>
      <c r="AF99" s="85" t="n"/>
      <c r="AG99" s="85" t="n"/>
      <c r="AH99" s="85" t="n"/>
      <c r="AI99" s="85" t="n"/>
      <c r="AJ99" s="85" t="n"/>
      <c r="AK99" s="85" t="n"/>
      <c r="AL99" s="85" t="n"/>
      <c r="AM99" s="85" t="n"/>
      <c r="AN99" s="85" t="n"/>
      <c r="AO99" s="85" t="n"/>
      <c r="AP99" s="85" t="n"/>
      <c r="AQ99" s="85" t="n"/>
      <c r="AR99" s="85" t="n"/>
      <c r="AS99" s="85" t="n"/>
      <c r="AT99" s="85" t="n"/>
      <c r="AU99" s="85" t="n"/>
      <c r="AV99" s="85" t="n"/>
      <c r="AW99" s="85" t="n"/>
      <c r="AX99" s="85" t="n"/>
      <c r="AY99" s="85" t="n"/>
    </row>
    <row r="100" ht="46" customHeight="1" s="50">
      <c r="A100" s="76" t="inlineStr">
        <is>
          <t>E10</t>
        </is>
      </c>
      <c r="B100"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0" s="76" t="inlineStr">
        <is>
          <t>03/09/2026, Lina Acuna</t>
        </is>
      </c>
      <c r="D100" s="76" t="inlineStr">
        <is>
          <t>Email approval</t>
        </is>
      </c>
      <c r="E100" s="76" t="inlineStr">
        <is>
          <t>Finance DIV results chart (Jose Acero) and Lina Acuna "Approved" 03/09/2026 (T24 / ReconXpert backup-restore).</t>
        </is>
      </c>
      <c r="F100" s="76" t="inlineStr">
        <is>
          <t>Samples: 1917, 1937; columns: M</t>
        </is>
      </c>
      <c r="G100" s="77" t="inlineStr">
        <is>
          <t>PASS</t>
        </is>
      </c>
      <c r="H100" s="68" t="n"/>
      <c r="I100" s="68" t="n"/>
      <c r="J100" s="68" t="n"/>
      <c r="K100" s="68" t="n"/>
      <c r="L100" s="68" t="n"/>
      <c r="M100" s="68" t="n"/>
      <c r="N100" s="68" t="n"/>
      <c r="O100" s="68" t="n"/>
      <c r="P100" s="68" t="n"/>
      <c r="Q100" s="68" t="n"/>
      <c r="R100" s="68" t="n"/>
      <c r="S100" s="68" t="n"/>
      <c r="T100" s="68" t="n"/>
      <c r="U100" s="68" t="n"/>
      <c r="V100" s="68" t="n"/>
      <c r="W100" s="85" t="n"/>
      <c r="X100" s="85" t="n"/>
      <c r="Y100" s="85" t="n"/>
      <c r="Z100" s="85" t="n"/>
      <c r="AA100" s="85" t="n"/>
      <c r="AB100" s="85" t="n"/>
      <c r="AC100" s="85" t="n"/>
      <c r="AD100" s="85" t="n"/>
      <c r="AE100" s="85" t="n"/>
      <c r="AF100" s="85" t="n"/>
      <c r="AG100" s="85" t="n"/>
      <c r="AH100" s="85" t="n"/>
      <c r="AI100" s="85" t="n"/>
      <c r="AJ100" s="85" t="n"/>
      <c r="AK100" s="85" t="n"/>
      <c r="AL100" s="85" t="n"/>
      <c r="AM100" s="85" t="n"/>
      <c r="AN100" s="85" t="n"/>
      <c r="AO100" s="85" t="n"/>
      <c r="AP100" s="85" t="n"/>
      <c r="AQ100" s="85" t="n"/>
      <c r="AR100" s="85" t="n"/>
      <c r="AS100" s="85" t="n"/>
      <c r="AT100" s="85" t="n"/>
      <c r="AU100" s="85" t="n"/>
      <c r="AV100" s="85" t="n"/>
      <c r="AW100" s="85" t="n"/>
      <c r="AX100" s="85" t="n"/>
      <c r="AY100" s="85" t="n"/>
    </row>
    <row r="101" ht="46" customHeight="1" s="50">
      <c r="A101" s="76" t="inlineStr">
        <is>
          <t>E13</t>
        </is>
      </c>
      <c r="B101"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1" s="76" t="inlineStr">
        <is>
          <t>11/13/2024, T24 backup user</t>
        </is>
      </c>
      <c r="D101" s="76" t="inlineStr">
        <is>
          <t>System email</t>
        </is>
      </c>
      <c r="E101" s="76" t="inlineStr">
        <is>
          <t>T24 environment refresh log: prior period (outside review period); supplemental only.</t>
        </is>
      </c>
      <c r="F101" s="76" t="inlineStr">
        <is>
          <t>Samples: ; columns: (supplemental)</t>
        </is>
      </c>
      <c r="G101" s="79" t="inlineStr">
        <is>
          <t>N/A (supplemental, not relied on)</t>
        </is>
      </c>
      <c r="H101" s="68" t="n"/>
      <c r="I101" s="68" t="n"/>
      <c r="J101" s="68" t="n"/>
      <c r="K101" s="68" t="n"/>
      <c r="L101" s="68" t="n"/>
      <c r="M101" s="68" t="n"/>
      <c r="N101" s="68" t="n"/>
      <c r="O101" s="68" t="n"/>
      <c r="P101" s="68" t="n"/>
      <c r="Q101" s="68" t="n"/>
      <c r="R101" s="68" t="n"/>
      <c r="S101" s="68" t="n"/>
      <c r="T101" s="68" t="n"/>
      <c r="U101" s="68" t="n"/>
      <c r="V101" s="68" t="n"/>
      <c r="W101" s="85" t="n"/>
      <c r="X101" s="85" t="n"/>
      <c r="Y101" s="85" t="n"/>
      <c r="Z101" s="85" t="n"/>
      <c r="AA101" s="85" t="n"/>
      <c r="AB101" s="85" t="n"/>
      <c r="AC101" s="85" t="n"/>
      <c r="AD101" s="85" t="n"/>
      <c r="AE101" s="85" t="n"/>
      <c r="AF101" s="85" t="n"/>
      <c r="AG101" s="85" t="n"/>
      <c r="AH101" s="85" t="n"/>
      <c r="AI101" s="85" t="n"/>
      <c r="AJ101" s="85" t="n"/>
      <c r="AK101" s="85" t="n"/>
      <c r="AL101" s="85" t="n"/>
      <c r="AM101" s="85" t="n"/>
      <c r="AN101" s="85" t="n"/>
      <c r="AO101" s="85" t="n"/>
      <c r="AP101" s="85" t="n"/>
      <c r="AQ101" s="85" t="n"/>
      <c r="AR101" s="85" t="n"/>
      <c r="AS101" s="85" t="n"/>
      <c r="AT101" s="85" t="n"/>
      <c r="AU101" s="85" t="n"/>
      <c r="AV101" s="85" t="n"/>
      <c r="AW101" s="85" t="n"/>
      <c r="AX101" s="85" t="n"/>
      <c r="AY101" s="85" t="n"/>
    </row>
    <row r="102" ht="46" customHeight="1" s="50">
      <c r="A102" s="76" t="inlineStr">
        <is>
          <t>E16b</t>
        </is>
      </c>
      <c r="B102"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2" s="76" t="inlineStr">
        <is>
          <t>08/2026: BCiC export sent with attestation request</t>
        </is>
      </c>
      <c r="D102" s="76" t="inlineStr">
        <is>
          <t>BCiC export</t>
        </is>
      </c>
      <c r="E102" s="76" t="inlineStr">
        <is>
          <t>BCiC DIV export 2025-26 (64 rows; no manager columns) sent to managers with the attestation request and returned by M. T. Del Cerro (DMA05). Row numbers are Excel rows.</t>
        </is>
      </c>
      <c r="F102" s="76" t="inlineStr">
        <is>
          <t>Samples: 1822, 1867, 1868, 3299, 4052, 3301, 1903, 1917, 1936, 1937; columns: B, D, E, F, I, K, P</t>
        </is>
      </c>
      <c r="G102" s="77" t="inlineStr">
        <is>
          <t>PASS</t>
        </is>
      </c>
      <c r="H102" s="68" t="n"/>
      <c r="I102" s="68" t="n"/>
      <c r="J102" s="68" t="n"/>
      <c r="K102" s="68" t="n"/>
      <c r="L102" s="68" t="n"/>
      <c r="M102" s="68" t="n"/>
      <c r="N102" s="68" t="n"/>
      <c r="O102" s="68" t="n"/>
      <c r="P102" s="68" t="n"/>
      <c r="Q102" s="68" t="n"/>
      <c r="R102" s="68" t="n"/>
      <c r="S102" s="68" t="n"/>
      <c r="T102" s="68" t="n"/>
      <c r="U102" s="68" t="n"/>
      <c r="V102" s="68" t="n"/>
      <c r="W102" s="85" t="n"/>
      <c r="X102" s="85" t="n"/>
      <c r="Y102" s="85" t="n"/>
      <c r="Z102" s="85" t="n"/>
      <c r="AA102" s="85" t="n"/>
      <c r="AB102" s="85" t="n"/>
      <c r="AC102" s="85" t="n"/>
      <c r="AD102" s="85" t="n"/>
      <c r="AE102" s="85" t="n"/>
      <c r="AF102" s="85" t="n"/>
      <c r="AG102" s="85" t="n"/>
      <c r="AH102" s="85" t="n"/>
      <c r="AI102" s="85" t="n"/>
      <c r="AJ102" s="85" t="n"/>
      <c r="AK102" s="85" t="n"/>
      <c r="AL102" s="85" t="n"/>
      <c r="AM102" s="85" t="n"/>
      <c r="AN102" s="85" t="n"/>
      <c r="AO102" s="85" t="n"/>
      <c r="AP102" s="85" t="n"/>
      <c r="AQ102" s="85" t="n"/>
      <c r="AR102" s="85" t="n"/>
      <c r="AS102" s="85" t="n"/>
      <c r="AT102" s="85" t="n"/>
      <c r="AU102" s="85" t="n"/>
      <c r="AV102" s="85" t="n"/>
      <c r="AW102" s="85" t="n"/>
      <c r="AX102" s="85" t="n"/>
      <c r="AY102" s="85" t="n"/>
    </row>
  </sheetData>
  <mergeCells count="30">
    <mergeCell ref="A32:G32"/>
    <mergeCell ref="A20:G20"/>
    <mergeCell ref="A52:G52"/>
    <mergeCell ref="A28:G28"/>
    <mergeCell ref="A44:G44"/>
    <mergeCell ref="A40:G40"/>
    <mergeCell ref="A48:G48"/>
    <mergeCell ref="H29:N29"/>
    <mergeCell ref="A24:G24"/>
    <mergeCell ref="H13:P13"/>
    <mergeCell ref="A64:G64"/>
    <mergeCell ref="H49:R49"/>
    <mergeCell ref="A73:G73"/>
    <mergeCell ref="A1:G1"/>
    <mergeCell ref="H45:O45"/>
    <mergeCell ref="H8:P8"/>
    <mergeCell ref="A16:G16"/>
    <mergeCell ref="H25:W25"/>
    <mergeCell ref="H53:M53"/>
    <mergeCell ref="A7:G7"/>
    <mergeCell ref="H57:AA57"/>
    <mergeCell ref="H21:W21"/>
    <mergeCell ref="A89:G89"/>
    <mergeCell ref="A56:G56"/>
    <mergeCell ref="H41:M41"/>
    <mergeCell ref="A3:G3"/>
    <mergeCell ref="H4:M4"/>
    <mergeCell ref="A12:G12"/>
    <mergeCell ref="H17:Q17"/>
    <mergeCell ref="H33:U33"/>
  </mergeCells>
  <hyperlinks>
    <hyperlink ref="A5" location="'Application Attribute Testing'!A98"/>
    <hyperlink ref="A9" location="'Application Attribute Testing'!A99"/>
    <hyperlink ref="A14" location="'Application Attribute Testing'!A101"/>
    <hyperlink ref="A18" location="'Application Attribute Testing'!A101"/>
    <hyperlink ref="A22" location="'Application Attribute Testing'!A101"/>
    <hyperlink ref="A26" location="'Application Attribute Testing'!A101"/>
    <hyperlink ref="A30" location="'Application Attribute Testing'!A101"/>
    <hyperlink ref="A34" location="'Application Attribute Testing'!A78"/>
    <hyperlink ref="A35" location="'Application Attribute Testing'!A82"/>
    <hyperlink ref="A36" location="'Application Attribute Testing'!A83"/>
    <hyperlink ref="A37" location="'Application Attribute Testing'!A84"/>
    <hyperlink ref="A38" location="'Application Attribute Testing'!A85"/>
    <hyperlink ref="A42" location="'Application Attribute Testing'!A101"/>
    <hyperlink ref="A46" location="'Application Attribute Testing'!A99"/>
    <hyperlink ref="A50" location="'Application Attribute Testing'!A103"/>
    <hyperlink ref="A54" location="'Application Attribute Testing'!A98"/>
    <hyperlink ref="A58" location="'Application Attribute Testing'!A78"/>
    <hyperlink ref="A59" location="'Application Attribute Testing'!A82"/>
    <hyperlink ref="A60" location="'Application Attribute Testing'!A83"/>
    <hyperlink ref="A61" location="'Application Attribute Testing'!A84"/>
    <hyperlink ref="A62" location="'Application Attribute Testing'!A85"/>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abSelected="1" workbookViewId="0">
      <selection activeCell="G4" sqref="G4"/>
    </sheetView>
  </sheetViews>
  <sheetFormatPr baseColWidth="8" defaultColWidth="30.33203125" defaultRowHeight="14"/>
  <cols>
    <col width="35.08203125" customWidth="1" style="50" min="5" max="5"/>
  </cols>
  <sheetData>
    <row r="1" ht="15.5" customHeight="1" s="50">
      <c r="A1" s="71" t="inlineStr">
        <is>
          <t>Conclusion: all applications in scope (PASS) with evidence references</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0" customHeight="1" s="50">
      <c r="A2" s="73" t="inlineStr">
        <is>
          <t>App ID</t>
        </is>
      </c>
      <c r="B2" s="73" t="inlineStr">
        <is>
          <t>Application</t>
        </is>
      </c>
      <c r="C2" s="73" t="inlineStr">
        <is>
          <t>Business line managers</t>
        </is>
      </c>
      <c r="D2" s="73" t="inlineStr">
        <is>
          <t>Evidence references and the attributes they support (column letters; click App ID for full detail)</t>
        </is>
      </c>
      <c r="E2" s="73" t="inlineStr">
        <is>
          <t>Attributes tested and their evidence references (PASS)</t>
        </is>
      </c>
      <c r="F2" s="73" t="inlineStr">
        <is>
          <t>Conclusion</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258" customHeight="1" s="50">
      <c r="A3" s="80" t="inlineStr">
        <is>
          <t>1822</t>
        </is>
      </c>
      <c r="B3" s="75" t="inlineStr">
        <is>
          <t>ACH Express</t>
        </is>
      </c>
      <c r="C3" s="76" t="inlineStr">
        <is>
          <t>Claudia Romero (Client Back Office)</t>
        </is>
      </c>
      <c r="D3" s="76"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t>
        </is>
      </c>
      <c r="E3"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E09, E16b
F Business Data validation: PASS, supported by BLA01, E03, E16b
G Business line manager name: PASS, supported by DMA01, E03, E09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3" s="88" t="inlineStr">
        <is>
          <t>PASS. DIV executed and validated  during the 11/15/2025 annual DR exercise, application in scope (MA01), results documented in BCiC/BCMS and approved by business line management (Claudia Romero).</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58" customHeight="1" s="50">
      <c r="A4" s="80" t="inlineStr">
        <is>
          <t>1867</t>
        </is>
      </c>
      <c r="B4" s="75" t="inlineStr">
        <is>
          <t>FedExport - BSI</t>
        </is>
      </c>
      <c r="C4" s="76" t="inlineStr">
        <is>
          <t>Claudia Romero (Client Back Office)</t>
        </is>
      </c>
      <c r="D4"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4"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4" s="88" t="inlineStr">
        <is>
          <t>PASS. DIV executed and validated  during the 11/15/2025 annual DR exercise, application in scope (MA01), results documented in BCiC/BCMS and approved by business line management (Claudia Romero).</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258" customHeight="1" s="50">
      <c r="A5" s="80" t="inlineStr">
        <is>
          <t>1868</t>
        </is>
      </c>
      <c r="B5" s="75" t="inlineStr">
        <is>
          <t>FedImport - BSI</t>
        </is>
      </c>
      <c r="C5" s="76" t="inlineStr">
        <is>
          <t>Claudia Romero (Client Back Office)</t>
        </is>
      </c>
      <c r="D5"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5"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5" s="76" t="inlineStr">
        <is>
          <t>PASS. DIV executed and validated (Y/Y/Y) during the 11/15/2025 annual DR exercise, application in scope (MA01), results documented in BCiC/BCMS and approved by business line management (Claudia Romero).</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294" customHeight="1" s="50">
      <c r="A6" s="80" t="inlineStr">
        <is>
          <t>3299</t>
        </is>
      </c>
      <c r="B6" s="75" t="inlineStr">
        <is>
          <t>Imaging101</t>
        </is>
      </c>
      <c r="C6" s="76" t="inlineStr">
        <is>
          <t>David Marquez (BSA/AML/OFAC Compliance)</t>
        </is>
      </c>
      <c r="D6" s="76"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t>
        </is>
      </c>
      <c r="E6" s="76" t="inlineStr">
        <is>
          <t>14/14 PASS
D Application Name: PASS, supported by MA01, E01, E02, E03, E04, E16b
B IT DR exercise name: PASS, supported by BLA01, BLA02, DMA02, E01, E03, E16b
C IT DR exercise name, was the exercise annually executed? PASS, supported by DMA02, E01, E03
E Business Tester: PASS, supported by BLA01, BLA02, E03, E04, E09, E16b
F Business Data validation: PASS, supported by BLA01, BLA02, E03, E04, E16b
G Business line manager name: PASS, supported by DMA01, DMA02, DMA05, DMA11, E03, E04, E09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M Data Integrity Validation Performed by IT DR Team: PASS, supported by BLA01, BLA02, DMA02, E03, E05, E09
N Applications in Scope Identified: PASS, supported by DMA02, MA01, E01, E02, E05, E09
O Business Line Approval of Results: PASS, supported by BLA01, BLA02, DMA01, DMA02, DMA05, DMA11, E03, E09</t>
        </is>
      </c>
      <c r="F6" s="76" t="inlineStr">
        <is>
          <t>PASS. DIV executed and validated (Y/Y/Y) during the 11/15/2025 annual DR exercise, application in scope (MA01), results documented in BCiC/BCMS and approved by business line management (David Marquez, Claudia Romero, Miguel Orozco, Maria del Cerro Hontanilla).</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246" customHeight="1" s="50">
      <c r="A7" s="80" t="inlineStr">
        <is>
          <t>4052</t>
        </is>
      </c>
      <c r="B7" s="75" t="inlineStr">
        <is>
          <t>Interface Monitor</t>
        </is>
      </c>
      <c r="C7" s="76" t="inlineStr">
        <is>
          <t>Michelle Oropesa (Investment Operations)</t>
        </is>
      </c>
      <c r="D7" s="76" t="inlineStr">
        <is>
          <t>BLA04 supports B, E, F, I, L, M, O
DMA02 supports B, C, L, M, N
DMA04 supports G, H, J, O
MA01 supports D, K, N
E01 supports D, B, C, K, L, N
E02 supports D, K, N
E03 supports D, B, C, E, F, G, H, I, K, L, M, O
E04 supports D, K
E05 supports M, N
E16b supports D, B, E, F, I, K</t>
        </is>
      </c>
      <c r="E7" s="76" t="inlineStr">
        <is>
          <t>14/14 PASS
D Application Name: PASS, supported by MA01, E01, E02, E03, E04, E16b
B IT DR exercise name: PASS, supported by BLA04, DMA02, E01, E03, E16b
C IT DR exercise name, was the exercise annually executed? PASS, supported by DMA02, E01, E03
E Business Tester: PASS, supported by BLA04, E03, E16b
F Business Data validation: PASS, supported by BLA04, E03, E16b
G Business line manager name: PASS, supported by DMA04, E03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M Data Integrity Validation Performed by IT DR Team: PASS, supported by BLA04, DMA02, E03, E05
N Applications in Scope Identified: PASS, supported by DMA02, MA01, E01, E02, E05
O Business Line Approval of Results: PASS, supported by BLA04, DMA04, E03</t>
        </is>
      </c>
      <c r="F7" s="76" t="inlineStr">
        <is>
          <t>PASS. DIV executed and validated (Y/Y/Y) during the 11/15/2025 annual DR exercise, application in scope (MA01), results documented in BCiC/BCMS and approved by business line management (Michelle Oropesa).</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46" customHeight="1" s="50">
      <c r="A8" s="80" t="inlineStr">
        <is>
          <t>3301</t>
        </is>
      </c>
      <c r="B8" s="75" t="inlineStr">
        <is>
          <t>MQ Payment Monitor</t>
        </is>
      </c>
      <c r="C8" s="76" t="inlineStr">
        <is>
          <t>Franklin Puentes (Payments &amp; Cash Management)</t>
        </is>
      </c>
      <c r="D8" s="76"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t>
        </is>
      </c>
      <c r="E8" s="76" t="inlineStr">
        <is>
          <t>14/14 PASS
D Application Name: PASS, supported by MA01, E01, E02, E03, E04, E16b
B IT DR exercise name: PASS, supported by BLA03, DMA02, E01, E03, E16b
C IT DR exercise name, was the exercise annually executed? PASS, supported by DMA02, E01, E03
E Business Tester: PASS, supported by BLA03, E03, E16b
F Business Data validation: PASS, supported by BLA03, E03, E07, E08, E16b
G Business line manager name: PASS, supported by DMA03, E03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M Data Integrity Validation Performed by IT DR Team: PASS, supported by BLA03, DMA02, E03, E05, E08
N Applications in Scope Identified: PASS, supported by DMA02, MA01, E01, E02, E05
O Business Line Approval of Results: PASS, supported by BLA03, DMA03, E03</t>
        </is>
      </c>
      <c r="F8" s="76" t="inlineStr">
        <is>
          <t>PASS. DIV executed and validated (Y/Y/Y) during the 11/15/2025 annual DR exercise, application in scope (MA01), results documented in BCiC/BCMS and approved by business line management (Franklin Puentes).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282" customHeight="1" s="50">
      <c r="A9" s="80" t="inlineStr">
        <is>
          <t>1903</t>
        </is>
      </c>
      <c r="B9" s="75" t="inlineStr">
        <is>
          <t>OFAC - BSI</t>
        </is>
      </c>
      <c r="C9" s="76" t="inlineStr">
        <is>
          <t>David Marquez (BSA/AML/OFAC Compliance)</t>
        </is>
      </c>
      <c r="D9" s="76"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t>
        </is>
      </c>
      <c r="E9" s="76" t="inlineStr">
        <is>
          <t>14/14 PASS
D Application Name: PASS, supported by MA01, E01, E02, E03, E04, E16b
B IT DR exercise name: PASS, supported by BLA02, BLA03, DMA02, E01, E03, E16b
C IT DR exercise name, was the exercise annually executed? PASS, supported by DMA02, E01, E03
E Business Tester: PASS, supported by BLA02, BLA03, E03, E04, E16b
F Business Data validation: PASS, supported by BLA02, BLA03, E03, E04, E07, E08, E16b
G Business line manager name: PASS, supported by DMA02, DMA03, DMA05, E03, E04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M Data Integrity Validation Performed by IT DR Team: PASS, supported by BLA02, BLA03, DMA02, E03, E05, E08
N Applications in Scope Identified: PASS, supported by DMA02, MA01, E01, E02, E05
O Business Line Approval of Results: PASS, supported by BLA02, BLA03, DMA02, DMA03, DMA05, E03</t>
        </is>
      </c>
      <c r="F9" s="76" t="inlineStr">
        <is>
          <t>PASS. DIV executed and validated (Y/Y/Y) during the 11/15/2025 annual DR exercise, application in scope (MA01), results documented in BCiC/BCMS and approved by business line management (David Marquez, Franklin Puentes, Maria del Cerro Hontanilla).</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246" customHeight="1" s="50">
      <c r="A10" s="80" t="inlineStr">
        <is>
          <t>1917</t>
        </is>
      </c>
      <c r="B10" s="75" t="inlineStr">
        <is>
          <t>ReconXpert</t>
        </is>
      </c>
      <c r="C10" s="76" t="inlineStr">
        <is>
          <t>Sadis Alvarenga Hernandez (Financial Analysis and Control)</t>
        </is>
      </c>
      <c r="D10" s="76" t="inlineStr">
        <is>
          <t>BLA05 supports B, E, F, I, L, M, O
BLA06 supports G, H, J, O
DMA02 supports B, C, L, M, N
MA01 supports D, K, N
E01 supports D, B, C, K, L, N
E02 supports D, K, N
E03 supports D, B, C, E, F, G, H, I, K, L, M, O
E04 supports D, K
E05 supports M, N
E10 supports M
E16b supports D, B, E, F, I, K</t>
        </is>
      </c>
      <c r="E10" s="76" t="inlineStr">
        <is>
          <t>14/14 PASS
D Application Name: PASS, supported by MA01, E01, E02, E03, E04, E16b
B IT DR exercise name: PASS, supported by BLA05, DMA02, E01, E03, E16b
C IT DR exercise name, was the exercise annually executed? PASS, supported by DMA02, E01, E03
E Business Tester: PASS, supported by BLA05, E03, E16b
F Business Data validation: PASS, supported by BLA05, E03, E16b
G Business line manager name: PASS, supported by BLA06, E03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M Data Integrity Validation Performed by IT DR Team: PASS, supported by BLA05, DMA02, E03, E05, E10
N Applications in Scope Identified: PASS, supported by DMA02, MA01, E01, E02, E05
O Business Line Approval of Results: PASS, supported by BLA05, BLA06, E03</t>
        </is>
      </c>
      <c r="F10" s="76" t="inlineStr">
        <is>
          <t>PASS. DIV executed and validated (Y/Y/Y) during the 11/15/2025 annual DR exercise, application in scope (MA01), results documented in BCiC/BCMS and approved by business line management (Sadis Alvarenga Hernandez).</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270" customHeight="1" s="50">
      <c r="A11" s="80" t="inlineStr">
        <is>
          <t>1936</t>
        </is>
      </c>
      <c r="B11" s="75" t="inlineStr">
        <is>
          <t>Swift Interface - BSI</t>
        </is>
      </c>
      <c r="C11" s="76" t="inlineStr">
        <is>
          <t>David Marquez (BSA/AML/OFAC Compliance)</t>
        </is>
      </c>
      <c r="D11" s="76"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t>
        </is>
      </c>
      <c r="E11" s="76" t="inlineStr">
        <is>
          <t>14/14 PASS
D Application Name: PASS, supported by MA01, E01, E02, E03, E04, E16b
B IT DR exercise name: PASS, supported by BLA03, BLA04, DMA02, E01, E03, E16b
C IT DR exercise name, was the exercise annually executed? PASS, supported by DMA02, E01, E03
E Business Tester: PASS, supported by BLA03, BLA04, E03, E04, E16b
F Business Data validation: PASS, supported by BLA03, BLA04, E03, E04, E07, E08, E16b
G Business line manager name: PASS, supported by DMA02, DMA04, E03, E04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M Data Integrity Validation Performed by IT DR Team: PASS, supported by BLA03, BLA04, DMA02, E03, E05, E08
N Applications in Scope Identified: PASS, supported by DMA02, MA01, E01, E02, E05
O Business Line Approval of Results: PASS, supported by BLA03, BLA04, DMA02, DMA04, E03</t>
        </is>
      </c>
      <c r="F11" s="76" t="inlineStr">
        <is>
          <t>PASS. DIV executed and validated (Y/Y/Y) during the 11/15/2025 annual DR exercise, application in scope (MA01), results documented in BCiC/BCMS and approved by business line management (David Marquez, Michelle Oropesa).</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378" customHeight="1" s="50">
      <c r="A12" s="80" t="inlineStr">
        <is>
          <t>1937</t>
        </is>
      </c>
      <c r="B12" s="75" t="inlineStr">
        <is>
          <t>T24</t>
        </is>
      </c>
      <c r="C12" s="76" t="inlineStr">
        <is>
          <t>Ricardo Garcia (Active Investment Services; Portfolio Advisory &amp; SAS; Products &amp; Investments Technology; Trading &amp; Capital Markets)</t>
        </is>
      </c>
      <c r="D12" s="76"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t>
        </is>
      </c>
      <c r="E12" s="76" t="inlineStr">
        <is>
          <t>14/14 PASS
D Application Name: PASS, supported by MA01, E01, E02, E03, E04, E16b
B IT DR exercise name: PASS, supported by BLA01, BLA02, BLA03, BLA04, BLA05, DMA02, E01, E03, E16b
C IT DR exercise name, was the exercise annually executed? PASS, supported by DMA02, E01, E03
E Business Tester: PASS, supported by BLA01, BLA02, BLA03, BLA04, BLA05, E03, E04, E16b
F Business Data validation: PASS, supported by BLA01, BLA02, BLA03, BLA04, BLA05, E03, E04, E07, E08, E16b
G Business line manager name: PASS, supported by BLA06, DMA01, DMA02, DMA03, DMA04, DMA05, DMA06, DMA07, DMA08, DMA09, DMA10, DMA11, DMA12, E03, E04, E09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M Data Integrity Validation Performed by IT DR Team: PASS, supported by BLA01, BLA02, BLA03, BLA04, BLA05, DMA02, E03, E05, E08, E10
N Applications in Scope Identified: PASS, supported by DMA02, MA01, E01, E02, E05
O Business Line Approval of Results: PASS, supported by BLA01, BLA02, BLA03, BLA04, BLA05, BLA06, DMA01, DMA02, DMA03, DMA04, DMA05, DMA06, DMA07, DMA08, DMA09, DMA10, DMA11, DMA12, E03, E09</t>
        </is>
      </c>
      <c r="F12" s="76" t="inlineStr">
        <is>
          <t>PASS.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Y33"/>
  <sheetViews>
    <sheetView workbookViewId="0">
      <selection activeCell="F7" sqref="F7"/>
    </sheetView>
  </sheetViews>
  <sheetFormatPr baseColWidth="8" defaultColWidth="29.08203125" defaultRowHeight="45" customHeight="1"/>
  <cols>
    <col width="31.58203125" customWidth="1" style="50" min="5" max="5"/>
  </cols>
  <sheetData>
    <row r="1" ht="45" customHeight="1" s="50">
      <c r="A1" s="71" t="inlineStr">
        <is>
          <t>Evidence reference table: each evidence number and every attribute test that references it</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5" customHeight="1" s="50">
      <c r="A2" s="73" t="inlineStr">
        <is>
          <t>Ref</t>
        </is>
      </c>
      <c r="B2" s="73" t="inlineStr">
        <is>
          <t>Evidence file (repository location)</t>
        </is>
      </c>
      <c r="C2" s="73" t="inlineStr">
        <is>
          <t>Date / owner / operator</t>
        </is>
      </c>
      <c r="D2" s="73" t="inlineStr">
        <is>
          <t>Samples supported</t>
        </is>
      </c>
      <c r="E2" s="73" t="inlineStr">
        <is>
          <t>Attribute tests referencing this evidence (column, attribute to samples)</t>
        </is>
      </c>
      <c r="F2" s="73" t="inlineStr">
        <is>
          <t>Sections</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5" customHeight="1" s="50">
      <c r="A3" s="78" t="inlineStr">
        <is>
          <t>BLA01</t>
        </is>
      </c>
      <c r="B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3" s="76" t="inlineStr">
        <is>
          <t>11/15/2025, Client Back Office (operator Raimy Ayala)</t>
        </is>
      </c>
      <c r="D3" s="76" t="inlineStr">
        <is>
          <t>1822 ACH Express, 1867 FedExport - BSI, 1868 FedImport - BSI, 3299 Imaging101, 1937 T24</t>
        </is>
      </c>
      <c r="E3" s="88"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F3" s="76" t="inlineStr">
        <is>
          <t>Supporting evidence: see Evidence review entry and tab Application Attribute Testing-1</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45" customHeight="1" s="50">
      <c r="A4" s="78" t="inlineStr">
        <is>
          <t>BLA02</t>
        </is>
      </c>
      <c r="B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4" s="76" t="inlineStr">
        <is>
          <t>11/15/2025, BSA/AML/OFAC Compliance (operator David Marquez)</t>
        </is>
      </c>
      <c r="D4" s="76" t="inlineStr">
        <is>
          <t>3299 Imaging101, 1903 OFAC - BSI, 1937 T24</t>
        </is>
      </c>
      <c r="E4" s="76"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F4" s="76" t="inlineStr">
        <is>
          <t>Supporting evidence: see Evidence review entry and tab Application Attribute Testing-1</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45" customHeight="1" s="50">
      <c r="A5" s="78" t="inlineStr">
        <is>
          <t>BLA03</t>
        </is>
      </c>
      <c r="B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5" s="76" t="inlineStr">
        <is>
          <t>11/15/2025, Payments &amp; Position Management (operators Frank Puentes / Gustavo Bucaro)</t>
        </is>
      </c>
      <c r="D5" s="76" t="inlineStr">
        <is>
          <t>3301 MQ Payment Monitor, 1903 OFAC - BSI, 1936 Swift Interface - BSI, 1937 T24</t>
        </is>
      </c>
      <c r="E5" s="76"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F5" s="76" t="inlineStr">
        <is>
          <t>Supporting evidence: see Evidence review entry and tab Application Attribute Testing-1</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45" customHeight="1" s="50">
      <c r="A6" s="78" t="inlineStr">
        <is>
          <t>BLA04</t>
        </is>
      </c>
      <c r="B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6" s="76" t="inlineStr">
        <is>
          <t>11/15/2025, Investment Operations (operator Michelle Oropesa)</t>
        </is>
      </c>
      <c r="D6" s="76" t="inlineStr">
        <is>
          <t>4052 Interface Monitor, 1936 Swift Interface - BSI, 1937 T24</t>
        </is>
      </c>
      <c r="E6" s="76"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F6" s="76" t="inlineStr">
        <is>
          <t>Supporting evidence: see Evidence review entry and tab Application Attribute Testing-1</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45" customHeight="1" s="50">
      <c r="A7" s="78" t="inlineStr">
        <is>
          <t>BLA05</t>
        </is>
      </c>
      <c r="B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 s="76" t="inlineStr">
        <is>
          <t>11/15/2025, Finance &amp; Accounting Reporting (operator Dunia Gonzalez Collado)</t>
        </is>
      </c>
      <c r="D7" s="76" t="inlineStr">
        <is>
          <t>1917 ReconXpert, 1937 T24</t>
        </is>
      </c>
      <c r="E7" s="76"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F7" s="76" t="inlineStr">
        <is>
          <t>Supporting evidence: see Evidence review entry and tab Application Attribute Testing-1</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45" customHeight="1" s="50">
      <c r="A8" s="78" t="inlineStr">
        <is>
          <t>BLA06</t>
        </is>
      </c>
      <c r="B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8" s="76" t="inlineStr">
        <is>
          <t>12/31/2025 &amp; 01/26/2026, Sadis Alvarenga</t>
        </is>
      </c>
      <c r="D8" s="76" t="inlineStr">
        <is>
          <t>1917 ReconXpert, 1937 T24</t>
        </is>
      </c>
      <c r="E8" s="88" t="inlineStr">
        <is>
          <t>G Business line manager name: samples 1917, 1937
H Business line manager approval dates: samples 1917, 1937
J Emails showing Business line manager approval of DIV testing results: samples 1917, 1937
O Business Line Approval of Results: samples 1917, 1937</t>
        </is>
      </c>
      <c r="F8" s="76" t="inlineStr">
        <is>
          <t>Key evidence in section(s): 9. Emails showing Business line manager approval of DIV testing results; 14. Business Line Approval of Results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45" customHeight="1" s="50">
      <c r="A9" s="78" t="inlineStr">
        <is>
          <t>DMA01</t>
        </is>
      </c>
      <c r="B9"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 s="76" t="inlineStr">
        <is>
          <t>08/18/2026, Claudia Romero</t>
        </is>
      </c>
      <c r="D9" s="76" t="inlineStr">
        <is>
          <t>1822 ACH Express, 1867 FedExport - BSI, 1868 FedImport - BSI, 3299 Imaging101, 1937 T24</t>
        </is>
      </c>
      <c r="E9" s="76"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F9" s="76" t="inlineStr">
        <is>
          <t>Key evidence in section(s): 9. Emails showing Business line manager approval of DIV testing results; 14. Business Line Approval of Results</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45" customHeight="1" s="50">
      <c r="A10" s="78" t="inlineStr">
        <is>
          <t>DMA02</t>
        </is>
      </c>
      <c r="B10"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10" s="76" t="inlineStr">
        <is>
          <t>08/19/2026, David Marquez</t>
        </is>
      </c>
      <c r="D10" s="76" t="inlineStr">
        <is>
          <t>1822 ACH Express, 1867 FedExport - BSI, 1868 FedImport - BSI, 3299 Imaging101, 4052 Interface Monitor, 3301 MQ Payment Monitor, 1903 OFAC - BSI, 1917 ReconXpert, 1936 Swift Interface - BSI, 1937 T24</t>
        </is>
      </c>
      <c r="E10" s="76"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F10" s="76" t="inlineStr">
        <is>
          <t>Key evidence in section(s): 9. Emails showing Business line manager approval of DIV testing results; 14. Business Line Approval of Results</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45" customHeight="1" s="50">
      <c r="A11" s="78" t="inlineStr">
        <is>
          <t>DMA03</t>
        </is>
      </c>
      <c r="B11"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11" s="76" t="inlineStr">
        <is>
          <t>08/18/2026, Frank Puentes</t>
        </is>
      </c>
      <c r="D11" s="76" t="inlineStr">
        <is>
          <t>3301 MQ Payment Monitor, 1903 OFAC - BSI, 1937 T24</t>
        </is>
      </c>
      <c r="E11" s="76"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F11" s="76" t="inlineStr">
        <is>
          <t>Key evidence in section(s): 9. Emails showing Business line manager approval of DIV testing results; 14. Business Line Approval of Results</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45" customHeight="1" s="50">
      <c r="A12" s="78" t="inlineStr">
        <is>
          <t>DMA04</t>
        </is>
      </c>
      <c r="B12"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12" s="76" t="inlineStr">
        <is>
          <t>08/17/2026, Michelle Oropesa</t>
        </is>
      </c>
      <c r="D12" s="76" t="inlineStr">
        <is>
          <t>4052 Interface Monitor, 1936 Swift Interface - BSI, 1937 T24</t>
        </is>
      </c>
      <c r="E12" s="76"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F12" s="76" t="inlineStr">
        <is>
          <t>Key evidence in section(s): 9. Emails showing Business line manager approval of DIV testing results; 14. Business Line Approval of Results</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45" customHeight="1" s="50">
      <c r="A13" s="78" t="inlineStr">
        <is>
          <t>DMA05</t>
        </is>
      </c>
      <c r="B13"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13" s="76" t="inlineStr">
        <is>
          <t>08/19/2026, Maria Teresa (Mayte) Del Cerro</t>
        </is>
      </c>
      <c r="D13" s="76" t="inlineStr">
        <is>
          <t>3299 Imaging101, 1903 OFAC - BSI, 1937 T24</t>
        </is>
      </c>
      <c r="E13" s="76"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F13" s="76" t="inlineStr">
        <is>
          <t>Supporting evidence: see Evidence review entry and tab Application Attribute Testing-1</t>
        </is>
      </c>
      <c r="G13" s="77" t="inlineStr">
        <is>
          <t>PASS</t>
        </is>
      </c>
      <c r="H13" s="68" t="n"/>
      <c r="I13" s="68" t="n"/>
      <c r="J13" s="68" t="n"/>
      <c r="K13" s="68" t="n"/>
      <c r="L13" s="68" t="n"/>
      <c r="M13" s="68" t="n"/>
      <c r="N13" s="68" t="n"/>
      <c r="O13" s="68" t="n"/>
      <c r="P13" s="68" t="n"/>
      <c r="Q13" s="68" t="n"/>
      <c r="R13" s="68" t="n"/>
      <c r="S13" s="68" t="n"/>
      <c r="T13" s="68" t="n"/>
      <c r="U13" s="68" t="n"/>
      <c r="V13" s="68" t="n"/>
      <c r="W13" s="85" t="n"/>
      <c r="X13" s="85" t="n"/>
      <c r="Y13" s="85" t="n"/>
      <c r="Z13" s="85" t="n"/>
      <c r="AA13" s="85"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ht="45" customHeight="1" s="50">
      <c r="A14" s="78" t="inlineStr">
        <is>
          <t>DMA06</t>
        </is>
      </c>
      <c r="B14"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14" s="76" t="inlineStr">
        <is>
          <t>08/18/2026, Ricardo Garcia-Marques</t>
        </is>
      </c>
      <c r="D14" s="76" t="inlineStr">
        <is>
          <t>1937 T24</t>
        </is>
      </c>
      <c r="E14" s="76" t="inlineStr">
        <is>
          <t>G Business line manager name: samples 1937
H Business line manager approval dates: samples 1937
J Emails showing Business line manager approval of DIV testing results: samples 1937
O Business Line Approval of Results: samples 1937</t>
        </is>
      </c>
      <c r="F14" s="76" t="inlineStr">
        <is>
          <t>Supporting evidence: see Evidence review entry and tab Application Attribute Testing-1</t>
        </is>
      </c>
      <c r="G14" s="77" t="inlineStr">
        <is>
          <t>PASS</t>
        </is>
      </c>
      <c r="H14" s="68" t="n"/>
      <c r="I14" s="68" t="n"/>
      <c r="J14" s="68" t="n"/>
      <c r="K14" s="68" t="n"/>
      <c r="L14" s="68" t="n"/>
      <c r="M14" s="68" t="n"/>
      <c r="N14" s="68" t="n"/>
      <c r="O14" s="68" t="n"/>
      <c r="P14" s="68" t="n"/>
      <c r="Q14" s="68" t="n"/>
      <c r="R14" s="68" t="n"/>
      <c r="S14" s="68" t="n"/>
      <c r="T14" s="68" t="n"/>
      <c r="U14" s="68" t="n"/>
      <c r="V14" s="68" t="n"/>
      <c r="W14" s="85" t="n"/>
      <c r="X14" s="85" t="n"/>
      <c r="Y14" s="85" t="n"/>
      <c r="Z14" s="85" t="n"/>
      <c r="AA14" s="85"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ht="45" customHeight="1" s="50">
      <c r="A15" s="78" t="inlineStr">
        <is>
          <t>DMA07</t>
        </is>
      </c>
      <c r="B15"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5" s="76" t="inlineStr">
        <is>
          <t>08/18/2026, Martha Sullivan</t>
        </is>
      </c>
      <c r="D15" s="76" t="inlineStr">
        <is>
          <t>1937 T24</t>
        </is>
      </c>
      <c r="E15" s="76" t="inlineStr">
        <is>
          <t>G Business line manager name: samples 1937
H Business line manager approval dates: samples 1937
J Emails showing Business line manager approval of DIV testing results: samples 1937
O Business Line Approval of Results: samples 1937</t>
        </is>
      </c>
      <c r="F15" s="76" t="inlineStr">
        <is>
          <t>Supporting evidence: see Evidence review entry and tab Application Attribute Testing-1</t>
        </is>
      </c>
      <c r="G15" s="77" t="inlineStr">
        <is>
          <t>PASS</t>
        </is>
      </c>
      <c r="H15" s="68" t="n"/>
      <c r="I15" s="68" t="n"/>
      <c r="J15" s="68" t="n"/>
      <c r="K15" s="68" t="n"/>
      <c r="L15" s="68" t="n"/>
      <c r="M15" s="68" t="n"/>
      <c r="N15" s="68" t="n"/>
      <c r="O15" s="68" t="n"/>
      <c r="P15" s="68" t="n"/>
      <c r="Q15" s="68" t="n"/>
      <c r="R15" s="68" t="n"/>
      <c r="S15" s="68" t="n"/>
      <c r="T15" s="68" t="n"/>
      <c r="U15" s="68" t="n"/>
      <c r="V15" s="68" t="n"/>
      <c r="W15" s="85" t="n"/>
      <c r="X15" s="85" t="n"/>
      <c r="Y15" s="85" t="n"/>
      <c r="Z15" s="85" t="n"/>
      <c r="AA15" s="85"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45" customHeight="1" s="50">
      <c r="A16" s="78" t="inlineStr">
        <is>
          <t>DMA08</t>
        </is>
      </c>
      <c r="B16"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6" s="76" t="inlineStr">
        <is>
          <t>08/18/2026, Ivan Caisapanta</t>
        </is>
      </c>
      <c r="D16" s="76" t="inlineStr">
        <is>
          <t>1937 T24</t>
        </is>
      </c>
      <c r="E16" s="76" t="inlineStr">
        <is>
          <t>G Business line manager name: samples 1937
H Business line manager approval dates: samples 1937
J Emails showing Business line manager approval of DIV testing results: samples 1937
O Business Line Approval of Results: samples 1937</t>
        </is>
      </c>
      <c r="F16" s="76" t="inlineStr">
        <is>
          <t>Supporting evidence: see Evidence review entry and tab Application Attribute Testing-1</t>
        </is>
      </c>
      <c r="G16" s="77" t="inlineStr">
        <is>
          <t>PASS</t>
        </is>
      </c>
      <c r="H16" s="68" t="n"/>
      <c r="I16" s="68" t="n"/>
      <c r="J16" s="68" t="n"/>
      <c r="K16" s="68" t="n"/>
      <c r="L16" s="68" t="n"/>
      <c r="M16" s="68" t="n"/>
      <c r="N16" s="68" t="n"/>
      <c r="O16" s="68" t="n"/>
      <c r="P16" s="68" t="n"/>
      <c r="Q16" s="68" t="n"/>
      <c r="R16" s="68" t="n"/>
      <c r="S16" s="68" t="n"/>
      <c r="T16" s="68" t="n"/>
      <c r="U16" s="68" t="n"/>
      <c r="V16" s="68" t="n"/>
      <c r="W16" s="85" t="n"/>
      <c r="X16" s="85" t="n"/>
      <c r="Y16" s="85" t="n"/>
      <c r="Z16" s="85" t="n"/>
      <c r="AA16" s="85"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45" customHeight="1" s="50">
      <c r="A17" s="78" t="inlineStr">
        <is>
          <t>DMA09</t>
        </is>
      </c>
      <c r="B17"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7" s="76" t="inlineStr">
        <is>
          <t>08/18/2026, Clara G. De Castro</t>
        </is>
      </c>
      <c r="D17" s="76" t="inlineStr">
        <is>
          <t>1937 T24</t>
        </is>
      </c>
      <c r="E17" s="76" t="inlineStr">
        <is>
          <t>G Business line manager name: samples 1937
H Business line manager approval dates: samples 1937
J Emails showing Business line manager approval of DIV testing results: samples 1937
O Business Line Approval of Results: samples 1937</t>
        </is>
      </c>
      <c r="F17" s="76" t="inlineStr">
        <is>
          <t>Supporting evidence: see Evidence review entry and tab Application Attribute Testing-1</t>
        </is>
      </c>
      <c r="G17" s="77" t="inlineStr">
        <is>
          <t>PASS</t>
        </is>
      </c>
      <c r="H17" s="68" t="n"/>
      <c r="I17" s="68" t="n"/>
      <c r="J17" s="68" t="n"/>
      <c r="K17" s="68" t="n"/>
      <c r="L17" s="68" t="n"/>
      <c r="M17" s="68" t="n"/>
      <c r="N17" s="68" t="n"/>
      <c r="O17" s="68" t="n"/>
      <c r="P17" s="68" t="n"/>
      <c r="Q17" s="68" t="n"/>
      <c r="R17" s="68" t="n"/>
      <c r="S17" s="68" t="n"/>
      <c r="T17" s="68" t="n"/>
      <c r="U17" s="68" t="n"/>
      <c r="V17" s="68" t="n"/>
      <c r="W17" s="85" t="n"/>
      <c r="X17" s="85" t="n"/>
      <c r="Y17" s="85" t="n"/>
      <c r="Z17" s="85" t="n"/>
      <c r="AA17" s="85"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ht="45" customHeight="1" s="50">
      <c r="A18" s="78" t="inlineStr">
        <is>
          <t>DMA10</t>
        </is>
      </c>
      <c r="B18"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8" s="76" t="inlineStr">
        <is>
          <t>08/21/2026, Victoria Fernandez</t>
        </is>
      </c>
      <c r="D18" s="76" t="inlineStr">
        <is>
          <t>1937 T24</t>
        </is>
      </c>
      <c r="E18" s="76" t="inlineStr">
        <is>
          <t>G Business line manager name: samples 1937
H Business line manager approval dates: samples 1937
J Emails showing Business line manager approval of DIV testing results: samples 1937
O Business Line Approval of Results: samples 1937</t>
        </is>
      </c>
      <c r="F18" s="76" t="inlineStr">
        <is>
          <t>Supporting evidence: see Evidence review entry and tab Application Attribute Testing-1</t>
        </is>
      </c>
      <c r="G18" s="77" t="inlineStr">
        <is>
          <t>PASS</t>
        </is>
      </c>
      <c r="H18" s="68" t="n"/>
      <c r="I18" s="68" t="n"/>
      <c r="J18" s="68" t="n"/>
      <c r="K18" s="68" t="n"/>
      <c r="L18" s="68" t="n"/>
      <c r="M18" s="68" t="n"/>
      <c r="N18" s="68" t="n"/>
      <c r="O18" s="68" t="n"/>
      <c r="P18" s="68" t="n"/>
      <c r="Q18" s="68" t="n"/>
      <c r="R18" s="68" t="n"/>
      <c r="S18" s="68" t="n"/>
      <c r="T18" s="68" t="n"/>
      <c r="U18" s="68" t="n"/>
      <c r="V18" s="68" t="n"/>
      <c r="W18" s="85" t="n"/>
      <c r="X18" s="85" t="n"/>
      <c r="Y18" s="85" t="n"/>
      <c r="Z18" s="85" t="n"/>
      <c r="AA18" s="85"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ht="45" customHeight="1" s="50">
      <c r="A19" s="78" t="inlineStr">
        <is>
          <t>DMA11</t>
        </is>
      </c>
      <c r="B19"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9" s="76" t="inlineStr">
        <is>
          <t>09/09/2026, Miguel Orozco</t>
        </is>
      </c>
      <c r="D19" s="76" t="inlineStr">
        <is>
          <t>3299 Imaging101, 1937 T24</t>
        </is>
      </c>
      <c r="E19" s="76" t="inlineStr">
        <is>
          <t>G Business line manager name: samples 3299, 1937
H Business line manager approval dates: samples 3299, 1937
J Emails showing Business line manager approval of DIV testing results: samples 3299, 1937
O Business Line Approval of Results: samples 3299, 1937</t>
        </is>
      </c>
      <c r="F19" s="76" t="inlineStr">
        <is>
          <t>Supporting evidence: see Evidence review entry and tab Application Attribute Testing-1</t>
        </is>
      </c>
      <c r="G19" s="77" t="inlineStr">
        <is>
          <t>PASS</t>
        </is>
      </c>
      <c r="H19" s="68" t="n"/>
      <c r="I19" s="68" t="n"/>
      <c r="J19" s="68" t="n"/>
      <c r="K19" s="68" t="n"/>
      <c r="L19" s="68" t="n"/>
      <c r="M19" s="68" t="n"/>
      <c r="N19" s="68" t="n"/>
      <c r="O19" s="68" t="n"/>
      <c r="P19" s="68" t="n"/>
      <c r="Q19" s="68" t="n"/>
      <c r="R19" s="68" t="n"/>
      <c r="S19" s="68" t="n"/>
      <c r="T19" s="68" t="n"/>
      <c r="U19" s="68" t="n"/>
      <c r="V19" s="68" t="n"/>
      <c r="W19" s="85" t="n"/>
      <c r="X19" s="85" t="n"/>
      <c r="Y19" s="85" t="n"/>
      <c r="Z19" s="85" t="n"/>
      <c r="AA19" s="85"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45" customHeight="1" s="50">
      <c r="A20" s="78" t="inlineStr">
        <is>
          <t>DMA12</t>
        </is>
      </c>
      <c r="B20"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20" s="76" t="inlineStr">
        <is>
          <t>09/09/2026, Liliana Vizhnay</t>
        </is>
      </c>
      <c r="D20" s="76" t="inlineStr">
        <is>
          <t>1937 T24</t>
        </is>
      </c>
      <c r="E20" s="76" t="inlineStr">
        <is>
          <t>G Business line manager name: samples 1937
H Business line manager approval dates: samples 1937
J Emails showing Business line manager approval of DIV testing results: samples 1937
O Business Line Approval of Results: samples 1937</t>
        </is>
      </c>
      <c r="F20" s="76" t="inlineStr">
        <is>
          <t>Supporting evidence: see Evidence review entry and tab Application Attribute Testing-1</t>
        </is>
      </c>
      <c r="G20" s="77" t="inlineStr">
        <is>
          <t>PASS</t>
        </is>
      </c>
      <c r="H20" s="68" t="n"/>
      <c r="I20" s="68" t="n"/>
      <c r="J20" s="68" t="n"/>
      <c r="K20" s="68" t="n"/>
      <c r="L20" s="68" t="n"/>
      <c r="M20" s="68" t="n"/>
      <c r="N20" s="68" t="n"/>
      <c r="O20" s="68" t="n"/>
      <c r="P20" s="68" t="n"/>
      <c r="Q20" s="68" t="n"/>
      <c r="R20" s="68" t="n"/>
      <c r="S20" s="68" t="n"/>
      <c r="T20" s="68" t="n"/>
      <c r="U20" s="68" t="n"/>
      <c r="V20" s="68" t="n"/>
      <c r="W20" s="85" t="n"/>
      <c r="X20" s="85" t="n"/>
      <c r="Y20" s="85" t="n"/>
      <c r="Z20" s="85" t="n"/>
      <c r="AA20" s="85"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45" customHeight="1" s="50">
      <c r="A21" s="78" t="inlineStr">
        <is>
          <t>DMA13</t>
        </is>
      </c>
      <c r="B21"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21" s="76" t="inlineStr">
        <is>
          <t>09/09/2026, Elizabeth Noda</t>
        </is>
      </c>
      <c r="D21" s="76" t="n"/>
      <c r="E21" s="76" t="inlineStr">
        <is>
          <t>Not referenced by any attribute test: retained for completeness.</t>
        </is>
      </c>
      <c r="F21" s="76" t="inlineStr">
        <is>
          <t>Supporting evidence: see Evidence review entry and tab Application Attribute Testing-1</t>
        </is>
      </c>
      <c r="G21" s="79" t="inlineStr">
        <is>
          <t>N/A (supplemental, not relied on)</t>
        </is>
      </c>
      <c r="H21" s="68" t="n"/>
      <c r="I21" s="68" t="n"/>
      <c r="J21" s="68" t="n"/>
      <c r="K21" s="68" t="n"/>
      <c r="L21" s="68" t="n"/>
      <c r="M21" s="68" t="n"/>
      <c r="N21" s="68" t="n"/>
      <c r="O21" s="68" t="n"/>
      <c r="P21" s="68" t="n"/>
      <c r="Q21" s="68" t="n"/>
      <c r="R21" s="68" t="n"/>
      <c r="S21" s="68" t="n"/>
      <c r="T21" s="68" t="n"/>
      <c r="U21" s="68" t="n"/>
      <c r="V21" s="68" t="n"/>
      <c r="W21" s="85" t="n"/>
      <c r="X21" s="85" t="n"/>
      <c r="Y21" s="85" t="n"/>
      <c r="Z21" s="85" t="n"/>
      <c r="AA21" s="85"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ht="45" customHeight="1" s="50">
      <c r="A22" s="78" t="inlineStr">
        <is>
          <t>MA01</t>
        </is>
      </c>
      <c r="B22"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22" s="76" t="inlineStr">
        <is>
          <t>09/23/2026, Cesar Vidal (BCiC walkthrough)</t>
        </is>
      </c>
      <c r="D22" s="76" t="inlineStr">
        <is>
          <t>1822 ACH Express, 1867 FedExport - BSI, 1868 FedImport - BSI, 3299 Imaging101, 4052 Interface Monitor, 3301 MQ Payment Monitor, 1903 OFAC - BSI, 1917 ReconXpert, 1936 Swift Interface - BSI, 1937 T24</t>
        </is>
      </c>
      <c r="E22"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2" s="76" t="inlineStr">
        <is>
          <t>Key evidence in section(s): 1. Application Name; 13. Applications in Scope Identified</t>
        </is>
      </c>
      <c r="G22" s="77" t="inlineStr">
        <is>
          <t>PASS</t>
        </is>
      </c>
      <c r="H22" s="68" t="n"/>
      <c r="I22" s="68" t="n"/>
      <c r="J22" s="68" t="n"/>
      <c r="K22" s="68" t="n"/>
      <c r="L22" s="68" t="n"/>
      <c r="M22" s="68" t="n"/>
      <c r="N22" s="68" t="n"/>
      <c r="O22" s="68" t="n"/>
      <c r="P22" s="68" t="n"/>
      <c r="Q22" s="68" t="n"/>
      <c r="R22" s="68" t="n"/>
      <c r="S22" s="68" t="n"/>
      <c r="T22" s="68" t="n"/>
      <c r="U22" s="68" t="n"/>
      <c r="V22" s="68" t="n"/>
      <c r="W22" s="85" t="n"/>
      <c r="X22" s="85" t="n"/>
      <c r="Y22" s="85" t="n"/>
      <c r="Z22" s="85" t="n"/>
      <c r="AA22" s="85"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ht="45" customHeight="1" s="50">
      <c r="A23" s="78" t="inlineStr">
        <is>
          <t>E01</t>
        </is>
      </c>
      <c r="B2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3" s="76" t="inlineStr">
        <is>
          <t>BCiC: Applications In Scope for DR Test BSI</t>
        </is>
      </c>
      <c r="D23" s="76" t="inlineStr">
        <is>
          <t>1822 ACH Express, 1867 FedExport - BSI, 1868 FedImport - BSI, 3299 Imaging101, 4052 Interface Monitor, 3301 MQ Payment Monitor, 1903 OFAC - BSI, 1917 ReconXpert, 1936 Swift Interface - BSI, 1937 T24</t>
        </is>
      </c>
      <c r="E23"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F23" s="76" t="inlineStr">
        <is>
          <t>Key evidence in section(s): 2. IT DR exercise name; 11. Annual Testing Executed</t>
        </is>
      </c>
      <c r="G23" s="77" t="inlineStr">
        <is>
          <t>PASS</t>
        </is>
      </c>
      <c r="H23" s="68" t="n"/>
      <c r="I23" s="68" t="n"/>
      <c r="J23" s="68" t="n"/>
      <c r="K23" s="68" t="n"/>
      <c r="L23" s="68" t="n"/>
      <c r="M23" s="68" t="n"/>
      <c r="N23" s="68" t="n"/>
      <c r="O23" s="68" t="n"/>
      <c r="P23" s="68" t="n"/>
      <c r="Q23" s="68" t="n"/>
      <c r="R23" s="68" t="n"/>
      <c r="S23" s="68" t="n"/>
      <c r="T23" s="68" t="n"/>
      <c r="U23" s="68" t="n"/>
      <c r="V23" s="68" t="n"/>
      <c r="W23" s="85" t="n"/>
      <c r="X23" s="85" t="n"/>
      <c r="Y23" s="85" t="n"/>
      <c r="Z23" s="85" t="n"/>
      <c r="AA23" s="85"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45" customHeight="1" s="50">
      <c r="A24" s="78" t="inlineStr">
        <is>
          <t>E02</t>
        </is>
      </c>
      <c r="B24"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24" s="76" t="inlineStr">
        <is>
          <t>09/10/2026, Cesar Vidal</t>
        </is>
      </c>
      <c r="D24" s="76" t="inlineStr">
        <is>
          <t>1822 ACH Express, 1867 FedExport - BSI, 1868 FedImport - BSI, 3299 Imaging101, 4052 Interface Monitor, 3301 MQ Payment Monitor, 1903 OFAC - BSI, 1917 ReconXpert, 1936 Swift Interface - BSI, 1937 T24</t>
        </is>
      </c>
      <c r="E24"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4" s="76" t="inlineStr">
        <is>
          <t>Supporting evidence: see Evidence review entry and tab Application Attribute Testing-1</t>
        </is>
      </c>
      <c r="G24" s="77" t="inlineStr">
        <is>
          <t>PASS</t>
        </is>
      </c>
      <c r="H24" s="68" t="n"/>
      <c r="I24" s="68" t="n"/>
      <c r="J24" s="68" t="n"/>
      <c r="K24" s="68" t="n"/>
      <c r="L24" s="68" t="n"/>
      <c r="M24" s="68" t="n"/>
      <c r="N24" s="68" t="n"/>
      <c r="O24" s="68" t="n"/>
      <c r="P24" s="68" t="n"/>
      <c r="Q24" s="68" t="n"/>
      <c r="R24" s="68" t="n"/>
      <c r="S24" s="68" t="n"/>
      <c r="T24" s="68" t="n"/>
      <c r="U24" s="68" t="n"/>
      <c r="V24" s="68" t="n"/>
      <c r="W24" s="85" t="n"/>
      <c r="X24" s="85" t="n"/>
      <c r="Y24" s="85" t="n"/>
      <c r="Z24" s="85" t="n"/>
      <c r="AA24" s="85"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45"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1867 FedExport - BSI, 1868 FedImport - BSI, 3299 Imaging101, 4052 Interface Monitor, 3301 MQ Payment Monitor, 1903 OFAC - BSI, 1917 ReconXpert, 1936 Swift Interface - BSI, 1937 T24</t>
        </is>
      </c>
      <c r="E25"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F25" s="76" t="inlineStr">
        <is>
          <t>Key evidence in section(s): 4. Business Tester; 5. Business Data validation; 6. Business line manager name; 7. Business line manager approval dates; 8. DIV Test procedures listed within the Test results document; 10. All evidence of Data Integrity DR test in BCIC</t>
        </is>
      </c>
      <c r="G25" s="77" t="inlineStr">
        <is>
          <t>PASS</t>
        </is>
      </c>
      <c r="H25" s="68" t="n"/>
      <c r="I25" s="68" t="n"/>
      <c r="J25" s="68" t="n"/>
      <c r="K25" s="68" t="n"/>
      <c r="L25" s="68" t="n"/>
      <c r="M25" s="68" t="n"/>
      <c r="N25" s="68" t="n"/>
      <c r="O25" s="68" t="n"/>
      <c r="P25" s="68" t="n"/>
      <c r="Q25" s="68" t="n"/>
      <c r="R25" s="68" t="n"/>
      <c r="S25" s="68" t="n"/>
      <c r="T25" s="68" t="n"/>
      <c r="U25" s="68" t="n"/>
      <c r="V25" s="68" t="n"/>
      <c r="W25" s="85" t="n"/>
      <c r="X25" s="85" t="n"/>
      <c r="Y25" s="85" t="n"/>
      <c r="Z25" s="85" t="n"/>
      <c r="AA25" s="85"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ht="45" customHeight="1" s="50">
      <c r="A26" s="78" t="inlineStr">
        <is>
          <t>E04</t>
        </is>
      </c>
      <c r="B26"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26" s="76" t="inlineStr">
        <is>
          <t>09/10/2026, Cesar Vidal</t>
        </is>
      </c>
      <c r="D26" s="76" t="inlineStr">
        <is>
          <t>1822 ACH Express, 1867 FedExport - BSI, 1868 FedImport - BSI, 3299 Imaging101, 4052 Interface Monitor, 3301 MQ Payment Monitor, 1903 OFAC - BSI, 1917 ReconXpert, 1936 Swift Interface - BSI, 1937 T24</t>
        </is>
      </c>
      <c r="E26" s="76"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F26" s="76" t="inlineStr">
        <is>
          <t>Supporting evidence: see Evidence review entry and tab Application Attribute Testing-1</t>
        </is>
      </c>
      <c r="G26" s="77" t="inlineStr">
        <is>
          <t>PASS</t>
        </is>
      </c>
      <c r="H26" s="68" t="n"/>
      <c r="I26" s="68" t="n"/>
      <c r="J26" s="68" t="n"/>
      <c r="K26" s="68" t="n"/>
      <c r="L26" s="68" t="n"/>
      <c r="M26" s="68" t="n"/>
      <c r="N26" s="68" t="n"/>
      <c r="O26" s="68" t="n"/>
      <c r="P26" s="68" t="n"/>
      <c r="Q26" s="68" t="n"/>
      <c r="R26" s="68" t="n"/>
      <c r="S26" s="68" t="n"/>
      <c r="T26" s="68" t="n"/>
      <c r="U26" s="68" t="n"/>
      <c r="V26" s="68" t="n"/>
      <c r="W26" s="85" t="n"/>
      <c r="X26" s="85" t="n"/>
      <c r="Y26" s="85" t="n"/>
      <c r="Z26" s="85" t="n"/>
      <c r="AA26" s="85"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ht="45" customHeight="1" s="50">
      <c r="A27" s="78" t="inlineStr">
        <is>
          <t>E05</t>
        </is>
      </c>
      <c r="B2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27" s="76" t="inlineStr">
        <is>
          <t>09/15/2025, Elizabeth Noda</t>
        </is>
      </c>
      <c r="D27" s="76" t="inlineStr">
        <is>
          <t>1822 ACH Express, 1867 FedExport - BSI, 1868 FedImport - BSI, 3299 Imaging101, 4052 Interface Monitor, 3301 MQ Payment Monitor, 1903 OFAC - BSI, 1917 ReconXpert, 1936 Swift Interface - BSI, 1937 T24</t>
        </is>
      </c>
      <c r="E27" s="76" t="inlineStr">
        <is>
          <t>M Data Integrity Validation Performed by IT DR Team: samples 1822, 1867, 1868, 3299, 4052, 3301, 1903, 1917, 1936, 1937
N Applications in Scope Identified: samples 1822, 1867, 1868, 3299, 4052, 3301, 1903, 1917, 1936, 1937</t>
        </is>
      </c>
      <c r="F27" s="76" t="inlineStr">
        <is>
          <t>Key evidence in section(s): 12. Data Integrity Validation Performed by IT DR Team</t>
        </is>
      </c>
      <c r="G27" s="77" t="inlineStr">
        <is>
          <t>PASS</t>
        </is>
      </c>
      <c r="H27" s="68" t="n"/>
      <c r="I27" s="68" t="n"/>
      <c r="J27" s="68" t="n"/>
      <c r="K27" s="68" t="n"/>
      <c r="L27" s="68" t="n"/>
      <c r="M27" s="68" t="n"/>
      <c r="N27" s="68" t="n"/>
      <c r="O27" s="68" t="n"/>
      <c r="P27" s="68" t="n"/>
      <c r="Q27" s="68" t="n"/>
      <c r="R27" s="68" t="n"/>
      <c r="S27" s="68" t="n"/>
      <c r="T27" s="68" t="n"/>
      <c r="U27" s="68" t="n"/>
      <c r="V27" s="68" t="n"/>
      <c r="W27" s="85" t="n"/>
      <c r="X27" s="85" t="n"/>
      <c r="Y27" s="85" t="n"/>
      <c r="Z27" s="85" t="n"/>
      <c r="AA27" s="85"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45" customHeight="1" s="50">
      <c r="A28" s="78" t="inlineStr">
        <is>
          <t>E07</t>
        </is>
      </c>
      <c r="B28"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28" s="76" t="inlineStr">
        <is>
          <t>11/15/2025, Frank Puentes</t>
        </is>
      </c>
      <c r="D28" s="76" t="inlineStr">
        <is>
          <t>3301 MQ Payment Monitor, 1903 OFAC - BSI, 1936 Swift Interface - BSI, 1937 T24</t>
        </is>
      </c>
      <c r="E28" s="76" t="inlineStr">
        <is>
          <t>F Business Data validation: samples 3301, 1903, 1936, 1937</t>
        </is>
      </c>
      <c r="F28" s="76" t="inlineStr">
        <is>
          <t>Supporting evidence: see Evidence review entry and tab Application Attribute Testing-1</t>
        </is>
      </c>
      <c r="G28" s="77" t="inlineStr">
        <is>
          <t>PASS</t>
        </is>
      </c>
      <c r="H28" s="68" t="n"/>
      <c r="I28" s="68" t="n"/>
      <c r="J28" s="68" t="n"/>
      <c r="K28" s="68" t="n"/>
      <c r="L28" s="68" t="n"/>
      <c r="M28" s="68" t="n"/>
      <c r="N28" s="68" t="n"/>
      <c r="O28" s="68" t="n"/>
      <c r="P28" s="68" t="n"/>
      <c r="Q28" s="68" t="n"/>
      <c r="R28" s="68" t="n"/>
      <c r="S28" s="68" t="n"/>
      <c r="T28" s="68" t="n"/>
      <c r="U28" s="68" t="n"/>
      <c r="V28" s="68" t="n"/>
      <c r="W28" s="85" t="n"/>
      <c r="X28" s="85" t="n"/>
      <c r="Y28" s="85" t="n"/>
      <c r="Z28" s="85" t="n"/>
      <c r="AA28" s="85"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45" customHeight="1" s="50">
      <c r="A29" s="78" t="inlineStr">
        <is>
          <t>E08</t>
        </is>
      </c>
      <c r="B29"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29" s="76" t="inlineStr">
        <is>
          <t>11/15/2025, Frank Puentes</t>
        </is>
      </c>
      <c r="D29" s="76" t="inlineStr">
        <is>
          <t>3301 MQ Payment Monitor, 1903 OFAC - BSI, 1936 Swift Interface - BSI, 1937 T24</t>
        </is>
      </c>
      <c r="E29" s="76" t="inlineStr">
        <is>
          <t>F Business Data validation: samples 3301, 1903, 1936, 1937
M Data Integrity Validation Performed by IT DR Team: samples 3301, 1903, 1936, 1937</t>
        </is>
      </c>
      <c r="F29" s="76" t="inlineStr">
        <is>
          <t>Supporting evidence: see Evidence review entry and tab Application Attribute Testing-1</t>
        </is>
      </c>
      <c r="G29" s="77" t="inlineStr">
        <is>
          <t>PASS</t>
        </is>
      </c>
      <c r="H29" s="68" t="n"/>
      <c r="I29" s="68" t="n"/>
      <c r="J29" s="68" t="n"/>
      <c r="K29" s="68" t="n"/>
      <c r="L29" s="68" t="n"/>
      <c r="M29" s="68" t="n"/>
      <c r="N29" s="68" t="n"/>
      <c r="O29" s="68" t="n"/>
      <c r="P29" s="68" t="n"/>
      <c r="Q29" s="68" t="n"/>
      <c r="R29" s="68" t="n"/>
      <c r="S29" s="68" t="n"/>
      <c r="T29" s="68" t="n"/>
      <c r="U29" s="68" t="n"/>
      <c r="V29" s="68" t="n"/>
      <c r="W29" s="85" t="n"/>
      <c r="X29" s="85" t="n"/>
      <c r="Y29" s="85" t="n"/>
      <c r="Z29" s="85" t="n"/>
      <c r="AA29" s="85"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ht="45" customHeight="1" s="50">
      <c r="A30" s="78" t="inlineStr">
        <is>
          <t>E09</t>
        </is>
      </c>
      <c r="B30"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30" s="76" t="inlineStr">
        <is>
          <t>03/03/2026 to 05/05/2026: Claudia Romero</t>
        </is>
      </c>
      <c r="D30" s="76" t="inlineStr">
        <is>
          <t>1822 ACH Express, 1867 FedExport - BSI, 1868 FedImport - BSI, 3299 Imaging101, 1937 T24</t>
        </is>
      </c>
      <c r="E30" s="76"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F30" s="76" t="inlineStr">
        <is>
          <t>Supporting evidence: see Evidence review entry and tab Application Attribute Testing-1</t>
        </is>
      </c>
      <c r="G30" s="77" t="inlineStr">
        <is>
          <t>PASS</t>
        </is>
      </c>
      <c r="H30" s="68" t="n"/>
      <c r="I30" s="68" t="n"/>
      <c r="J30" s="68" t="n"/>
      <c r="K30" s="68" t="n"/>
      <c r="L30" s="68" t="n"/>
      <c r="M30" s="68" t="n"/>
      <c r="N30" s="68" t="n"/>
      <c r="O30" s="68" t="n"/>
      <c r="P30" s="68" t="n"/>
      <c r="Q30" s="68" t="n"/>
      <c r="R30" s="68" t="n"/>
      <c r="S30" s="68" t="n"/>
      <c r="T30" s="68" t="n"/>
      <c r="U30" s="68" t="n"/>
      <c r="V30" s="68" t="n"/>
      <c r="W30" s="85" t="n"/>
      <c r="X30" s="85" t="n"/>
      <c r="Y30" s="85" t="n"/>
      <c r="Z30" s="85" t="n"/>
      <c r="AA30" s="85"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ht="45" customHeight="1" s="50">
      <c r="A31" s="78" t="inlineStr">
        <is>
          <t>E10</t>
        </is>
      </c>
      <c r="B31"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31" s="76" t="inlineStr">
        <is>
          <t>03/09/2026, Lina Acuna</t>
        </is>
      </c>
      <c r="D31" s="76" t="inlineStr">
        <is>
          <t>1917 ReconXpert, 1937 T24</t>
        </is>
      </c>
      <c r="E31" s="76" t="inlineStr">
        <is>
          <t>M Data Integrity Validation Performed by IT DR Team: samples 1917, 1937</t>
        </is>
      </c>
      <c r="F31" s="76" t="inlineStr">
        <is>
          <t>Supporting evidence: see Evidence review entry and tab Application Attribute Testing-1</t>
        </is>
      </c>
      <c r="G31" s="77" t="inlineStr">
        <is>
          <t>PASS</t>
        </is>
      </c>
      <c r="H31" s="68" t="n"/>
      <c r="I31" s="68" t="n"/>
      <c r="J31" s="68" t="n"/>
      <c r="K31" s="68" t="n"/>
      <c r="L31" s="68" t="n"/>
      <c r="M31" s="68" t="n"/>
      <c r="N31" s="68" t="n"/>
      <c r="O31" s="68" t="n"/>
      <c r="P31" s="68" t="n"/>
      <c r="Q31" s="68" t="n"/>
      <c r="R31" s="68" t="n"/>
      <c r="S31" s="68" t="n"/>
      <c r="T31" s="68" t="n"/>
      <c r="U31" s="68" t="n"/>
      <c r="V31" s="68" t="n"/>
      <c r="W31" s="85" t="n"/>
      <c r="X31" s="85" t="n"/>
      <c r="Y31" s="85" t="n"/>
      <c r="Z31" s="85" t="n"/>
      <c r="AA31" s="85"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45" customHeight="1" s="50">
      <c r="A32" s="78" t="inlineStr">
        <is>
          <t>E13</t>
        </is>
      </c>
      <c r="B32"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32" s="76" t="inlineStr">
        <is>
          <t>11/13/2024, T24 backup user</t>
        </is>
      </c>
      <c r="D32" s="76" t="n"/>
      <c r="E32" s="76" t="inlineStr">
        <is>
          <t>Not referenced by any attribute test: retained for completeness.</t>
        </is>
      </c>
      <c r="F32" s="76" t="inlineStr">
        <is>
          <t>Supporting evidence: see Evidence review entry and tab Application Attribute Testing-1</t>
        </is>
      </c>
      <c r="G32" s="79" t="inlineStr">
        <is>
          <t>N/A (supplemental, not relied on)</t>
        </is>
      </c>
      <c r="H32" s="68" t="n"/>
      <c r="I32" s="68" t="n"/>
      <c r="J32" s="68" t="n"/>
      <c r="K32" s="68" t="n"/>
      <c r="L32" s="68" t="n"/>
      <c r="M32" s="68" t="n"/>
      <c r="N32" s="68" t="n"/>
      <c r="O32" s="68" t="n"/>
      <c r="P32" s="68" t="n"/>
      <c r="Q32" s="68" t="n"/>
      <c r="R32" s="68" t="n"/>
      <c r="S32" s="68" t="n"/>
      <c r="T32" s="68" t="n"/>
      <c r="U32" s="68" t="n"/>
      <c r="V32" s="68" t="n"/>
      <c r="W32" s="85" t="n"/>
      <c r="X32" s="85" t="n"/>
      <c r="Y32" s="85" t="n"/>
      <c r="Z32" s="85" t="n"/>
      <c r="AA32" s="85"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45" customHeight="1" s="50">
      <c r="A33" s="78" t="inlineStr">
        <is>
          <t>E16b</t>
        </is>
      </c>
      <c r="B33"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33" s="76" t="inlineStr">
        <is>
          <t>08/2026: BCiC export sent with attestation request</t>
        </is>
      </c>
      <c r="D33" s="76" t="inlineStr">
        <is>
          <t>1822 ACH Express, 1867 FedExport - BSI, 1868 FedImport - BSI, 3299 Imaging101, 4052 Interface Monitor, 3301 MQ Payment Monitor, 1903 OFAC - BSI, 1917 ReconXpert, 1936 Swift Interface - BSI, 1937 T24</t>
        </is>
      </c>
      <c r="E33" s="76"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F33" s="76" t="inlineStr">
        <is>
          <t>Supporting evidence: see Evidence review entry and tab Application Attribute Testing-1</t>
        </is>
      </c>
      <c r="G33" s="77" t="inlineStr">
        <is>
          <t>PASS</t>
        </is>
      </c>
      <c r="H33" s="68" t="n"/>
      <c r="I33" s="68" t="n"/>
      <c r="J33" s="68" t="n"/>
      <c r="K33" s="68" t="n"/>
      <c r="L33" s="68" t="n"/>
      <c r="M33" s="68" t="n"/>
      <c r="N33" s="68" t="n"/>
      <c r="O33" s="68" t="n"/>
      <c r="P33" s="68" t="n"/>
      <c r="Q33" s="68" t="n"/>
      <c r="R33" s="68" t="n"/>
      <c r="S33" s="68" t="n"/>
      <c r="T33" s="68" t="n"/>
      <c r="U33" s="68" t="n"/>
      <c r="V33" s="68" t="n"/>
      <c r="W33" s="85" t="n"/>
      <c r="X33" s="85" t="n"/>
      <c r="Y33" s="85" t="n"/>
      <c r="Z33" s="85" t="n"/>
      <c r="AA33" s="85"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sheetData>
  <mergeCells count="1">
    <mergeCell ref="A1:G1"/>
  </mergeCells>
  <hyperlinks>
    <hyperlink ref="A3" location="'Application Attribute Testing'!A73"/>
    <hyperlink ref="A4" location="'Application Attribute Testing'!A74"/>
    <hyperlink ref="A5" location="'Application Attribute Testing'!A75"/>
    <hyperlink ref="A6" location="'Application Attribute Testing'!A76"/>
    <hyperlink ref="A7" location="'Application Attribute Testing'!A77"/>
    <hyperlink ref="A8" location="'Application Attribute Testing'!A78"/>
    <hyperlink ref="A9" location="'Application Attribute Testing'!A82"/>
    <hyperlink ref="A10" location="'Application Attribute Testing'!A83"/>
    <hyperlink ref="A11" location="'Application Attribute Testing'!A84"/>
    <hyperlink ref="A12" location="'Application Attribute Testing'!A85"/>
    <hyperlink ref="A13" location="'Application Attribute Testing'!A86"/>
    <hyperlink ref="A14" location="'Application Attribute Testing'!A87"/>
    <hyperlink ref="A15" location="'Application Attribute Testing'!A88"/>
    <hyperlink ref="A16" location="'Application Attribute Testing'!A89"/>
    <hyperlink ref="A17" location="'Application Attribute Testing'!A90"/>
    <hyperlink ref="A18" location="'Application Attribute Testing'!A91"/>
    <hyperlink ref="A19" location="'Application Attribute Testing'!A92"/>
    <hyperlink ref="A20" location="'Application Attribute Testing'!A93"/>
    <hyperlink ref="A21" location="'Application Attribute Testing'!A94"/>
    <hyperlink ref="A22" location="'Application Attribute Testing'!A98"/>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50" min="1" max="1"/>
    <col width="48" customWidth="1" style="50" min="2" max="2"/>
    <col width="60" customWidth="1" style="50" min="3" max="15"/>
    <col width="95" customWidth="1" style="50" min="16" max="16"/>
    <col width="45" customWidth="1" style="50" min="17" max="17"/>
  </cols>
  <sheetData>
    <row r="1" ht="18" customHeight="1" s="50">
      <c r="A1" s="23" t="inlineStr">
        <is>
          <t>BSI.IT.6.C7.3: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50">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50">
      <c r="A5" s="25" t="n">
        <v>1822</v>
      </c>
      <c r="B5" s="25" t="inlineStr">
        <is>
          <t>E01: BSI.IT.6.C7.3-Evidences\04_Data_Integrity_and_Email_Testing_Evidence\BSI.IT.6.C7.3_E01_Applications In Scope for DR Test BSI (13).xlsx, row 3, Exercise Date 12/11/25, 2025 DR Test Scope = True
E03: BSI.IT.6.C7.3-Evidences\04_Data_Integrity_and_Email_Testing_Evidence\BSI.IT.6.C7.3_E03_All Data Integrity Validation Testing_FV.xls, row 47, Business Data Validation Date 11/15/2025 / Last App DR Test Date
E16b: BSI.IT.6.C7.3-Evidences\04_Data_Integrity_and_Email_Testing_Evidence\BSI.IT.6.C7.3_E16b_All Data Integrity Validation Testing-BSI 2025-26.xlsx, row 48,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5" s="25" t="inlineStr">
        <is>
          <t>MA01: BSI.IT.6.C7.3-Evidences\01_Management_Attestation_In-Scope_Applications\MA01_BSI In-Scope Applications-2026.png, BSI In-Scope Applications-2026, App ID 1822 selected; 2025 Backup/Restore DIV Scope = True
E01: BSI.IT.6.C7.3-Evidences\04_Data_Integrity_and_Email_Testing_Evidence\BSI.IT.6.C7.3_E01_Applications In Scope for DR Test BSI (13).xlsx, row 3, Application ID 1822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t>
        </is>
      </c>
      <c r="D5" s="25" t="inlineStr">
        <is>
          <t>E03: BSI.IT.6.C7.3-Evidences\04_Data_Integrity_and_Email_Testing_Evidence\BSI.IT.6.C7.3_E03_All Data Integrity Validation Testing_FV.xls, row 47, 'Business Tester(s)' column
E16b: BSI.IT.6.C7.3-Evidences\04_Data_Integrity_and_Email_Testing_Evidence\BSI.IT.6.C7.3_E16b_All Data Integrity Validation Testing-BSI 2025-26.xlsx, row 48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5" s="25" t="inlineStr">
        <is>
          <t>E03: BSI.IT.6.C7.3-Evidences\04_Data_Integrity_and_Email_Testing_Evidence\BSI.IT.6.C7.3_E03_All Data Integrity Validation Testing_FV.xls, row 47, Business Data Validation Date 11/15/2025; Y/N Format / Headers / Content = Y
E16b: BSI.IT.6.C7.3-Evidences\04_Data_Integrity_and_Email_Testing_Evidence\BSI.IT.6.C7.3_E16b_All Data Integrity Validation Testing-BSI 2025-26.xlsx, row 48 to 11/15/2025; Y / Y / Y
BLA01: BSI.IT.6.C7.3-Evidences\02_Business_Line_Approval_Results_Email\BLA01_Client Back Office - FED Inclearing ACH &amp; Cash Letter - DIV Test Results 11-15-2025.pdf, p.1 DIV section (Format / Headers / Content = Y, "No data discrepancy found"); pp.2-14 screenshots</t>
        </is>
      </c>
      <c r="F5" s="25" t="inlineStr">
        <is>
          <t>E03: BSI.IT.6.C7.3-Evidences\04_Data_Integrity_and_Email_Testing_Evidence\BSI.IT.6.C7.3_E03_All Data Integrity Validation Testing_FV.xls, row 47,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5" s="25" t="inlineStr">
        <is>
          <t>E03: BSI.IT.6.C7.3-Evidences\04_Data_Integrity_and_Email_Testing_Evidence\BSI.IT.6.C7.3_E03_All Data Integrity Validation Testing_FV.xls, row 47, 'Department Manager Approval Date' and 'Attestation Date' columns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5" s="25" t="inlineStr">
        <is>
          <t>E03: BSI.IT.6.C7.3-Evidences\04_Data_Integrity_and_Email_Testing_Evidence\BSI.IT.6.C7.3_E03_All Data Integrity Validation Testing_FV.xls, row 47, 'Data Integrity Validation Procedures' column
E16b: BSI.IT.6.C7.3-Evidences\04_Data_Integrity_and_Email_Testing_Evidence\BSI.IT.6.C7.3_E16b_All Data Integrity Validation Testing-BSI 2025-26.xlsx, row 48,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5"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5" s="25" t="inlineStr">
        <is>
          <t>E03: BSI.IT.6.C7.3-Evidences\04_Data_Integrity_and_Email_Testing_Evidence\BSI.IT.6.C7.3_E03_All Data Integrity Validation Testing_FV.xls, row 47, BCiC DIV export (tester, dates, manager, Y/N results, attestation)
E16b: BSI.IT.6.C7.3-Evidences\04_Data_Integrity_and_Email_Testing_Evidence\BSI.IT.6.C7.3_E16b_All Data Integrity Validation Testing-BSI 2025-26.xlsx, row 48,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
E02: BSI.IT.6.C7.3-Evidences\04_Data_Integrity_and_Email_Testing_Evidence\BSI.IT.6.C7.3_E02_screenshot BCiC apps in scope for DR Testing.jpg, BCiC DR-scope view
MA01: BSI.IT.6.C7.3-Evidences\01_Management_Attestation_In-Scope_Applications\MA01_BSI In-Scope Applications-2026.png, App ID 1822 selected in BCiC in-scope view</t>
        </is>
      </c>
      <c r="K5" s="25" t="inlineStr">
        <is>
          <t>E01: BSI.IT.6.C7.3-Evidences\04_Data_Integrity_and_Email_Testing_Evidence\BSI.IT.6.C7.3_E01_Applications In Scope for DR Test BSI (13).xlsx, row 3, Exercise Date 12/11/2025 / 2025 DR Test Scope = True
E03: BSI.IT.6.C7.3-Evidences\04_Data_Integrity_and_Email_Testing_Evidence\BSI.IT.6.C7.3_E03_All Data Integrity Validation Testing_FV.xls, row 47,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5"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47, Y/N Format, Headers, Content = Y</t>
        </is>
      </c>
      <c r="M5" s="25" t="inlineStr">
        <is>
          <t>MA01: BSI.IT.6.C7.3-Evidences\01_Management_Attestation_In-Scope_Applications\MA01_BSI In-Scope Applications-2026.png, BSI In-Scope Applications-2026, App ID 1822 selected; 2025 DR Test Scope, 2025 Backup/Restore Test Scope and 2025 Backup/Restore DIV Scope = True
E01: BSI.IT.6.C7.3-Evidences\04_Data_Integrity_and_Email_Testing_Evidence\BSI.IT.6.C7.3_E01_Applications In Scope for DR Test BSI (13).xlsx, row 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5"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47, Department Manager / Approval Date / Attestation fields</t>
        </is>
      </c>
      <c r="O5" s="25" t="inlineStr">
        <is>
          <t>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5"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5" s="25" t="inlineStr">
        <is>
          <t>PASS with observations. MA01, BLA01, DMA01, DMA02, E01, E02, E03, E04, E05, E09, E16b</t>
        </is>
      </c>
    </row>
    <row r="6" ht="409" customHeight="1" s="50">
      <c r="A6" s="25" t="n">
        <v>1867</v>
      </c>
      <c r="B6" s="25" t="inlineStr">
        <is>
          <t>E01: BSI.IT.6.C7.3-Evidences\04_Data_Integrity_and_Email_Testing_Evidence\BSI.IT.6.C7.3_E01_Applications In Scope for DR Test BSI (13).xlsx, row 19, Exercise Date 12/11/25, 2025 DR Test Scope = True
E03: BSI.IT.6.C7.3-Evidences\04_Data_Integrity_and_Email_Testing_Evidence\BSI.IT.6.C7.3_E03_All Data Integrity Validation Testing_FV.xls, row 9, Business Data Validation Date 11/15/2025 / Last App DR Test Date
E16b: BSI.IT.6.C7.3-Evidences\04_Data_Integrity_and_Email_Testing_Evidence\BSI.IT.6.C7.3_E16b_All Data Integrity Validation Testing-BSI 2025-26.xlsx, row 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6" s="25" t="inlineStr">
        <is>
          <t>MA01: BSI.IT.6.C7.3-Evidences\01_Management_Attestation_In-Scope_Applications\MA01_BSI In-Scope Applications-2026.png, BSI In-Scope Applications-2026, App ID 1867 selected; 2025 Backup/Restore DIV Scope = True
E01: BSI.IT.6.C7.3-Evidences\04_Data_Integrity_and_Email_Testing_Evidence\BSI.IT.6.C7.3_E01_Applications In Scope for DR Test BSI (13).xlsx, row 19, Application ID 1867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t>
        </is>
      </c>
      <c r="D6" s="25" t="inlineStr">
        <is>
          <t>E03: BSI.IT.6.C7.3-Evidences\04_Data_Integrity_and_Email_Testing_Evidence\BSI.IT.6.C7.3_E03_All Data Integrity Validation Testing_FV.xls, row 9, 'Business Tester(s)' column
E16b: BSI.IT.6.C7.3-Evidences\04_Data_Integrity_and_Email_Testing_Evidence\BSI.IT.6.C7.3_E16b_All Data Integrity Validation Testing-BSI 2025-26.xlsx, row 9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6" s="25" t="inlineStr">
        <is>
          <t>E03: BSI.IT.6.C7.3-Evidences\04_Data_Integrity_and_Email_Testing_Evidence\BSI.IT.6.C7.3_E03_All Data Integrity Validation Testing_FV.xls, row 9, Business Data Validation Date 11/15/2025; Y/N Format / Headers / Content = Y
E16b: BSI.IT.6.C7.3-Evidences\04_Data_Integrity_and_Email_Testing_Evidence\BSI.IT.6.C7.3_E16b_All Data Integrity Validation Testing-BSI 2025-26.xlsx, row 9 to 11/15/2025; Y / Y / Y
E04: BSI.IT.6.C7.3-Evidences\04_Data_Integrity_and_Email_Testing_Evidence\BSI.IT.6.C7.3_E04_BCiC_Screenshot for Data Integrity Validation report.jpg, Business Data Validation Date and Y/N columns
BLA01: BSI.IT.6.C7.3-Evidences\02_Business_Line_Approval_Results_Email\BLA01_Client Back Office - FED Inclearing ACH &amp; Cash Letter - DIV Test Results 11-15-2025.pdf, p.1 DIV section (Format / Headers / Content = Y, "No data discrepancy found"); pp.2-14 screenshots</t>
        </is>
      </c>
      <c r="F6" s="25" t="inlineStr">
        <is>
          <t>E03: BSI.IT.6.C7.3-Evidences\04_Data_Integrity_and_Email_Testing_Evidence\BSI.IT.6.C7.3_E03_All Data Integrity Validation Testing_FV.xls, row 9,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6" s="25" t="inlineStr">
        <is>
          <t>E03: BSI.IT.6.C7.3-Evidences\04_Data_Integrity_and_Email_Testing_Evidence\BSI.IT.6.C7.3_E03_All Data Integrity Validation Testing_FV.xls, row 9,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6" s="25" t="inlineStr">
        <is>
          <t>E03: BSI.IT.6.C7.3-Evidences\04_Data_Integrity_and_Email_Testing_Evidence\BSI.IT.6.C7.3_E03_All Data Integrity Validation Testing_FV.xls, row 9, 'Data Integrity Validation Procedures' column
E16b: BSI.IT.6.C7.3-Evidences\04_Data_Integrity_and_Email_Testing_Evidence\BSI.IT.6.C7.3_E16b_All Data Integrity Validation Testing-BSI 2025-26.xlsx, row 9,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6"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6" s="25" t="inlineStr">
        <is>
          <t>E03: BSI.IT.6.C7.3-Evidences\04_Data_Integrity_and_Email_Testing_Evidence\BSI.IT.6.C7.3_E03_All Data Integrity Validation Testing_FV.xls, row 9, BCiC DIV export (tester, dates, manager, Y/N results, attestation)
E16b: BSI.IT.6.C7.3-Evidences\04_Data_Integrity_and_Email_Testing_Evidence\BSI.IT.6.C7.3_E16b_All Data Integrity Validation Testing-BSI 2025-26.xlsx, row 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19
E02: BSI.IT.6.C7.3-Evidences\04_Data_Integrity_and_Email_Testing_Evidence\BSI.IT.6.C7.3_E02_screenshot BCiC apps in scope for DR Testing.jpg, BCiC DR-scope view
MA01: BSI.IT.6.C7.3-Evidences\01_Management_Attestation_In-Scope_Applications\MA01_BSI In-Scope Applications-2026.png, App ID 1867 selected in BCiC in-scope view</t>
        </is>
      </c>
      <c r="K6" s="25" t="inlineStr">
        <is>
          <t>E01: BSI.IT.6.C7.3-Evidences\04_Data_Integrity_and_Email_Testing_Evidence\BSI.IT.6.C7.3_E01_Applications In Scope for DR Test BSI (13).xlsx, row 19, Exercise Date 12/11/2025 / 2025 DR Test Scope = True
E03: BSI.IT.6.C7.3-Evidences\04_Data_Integrity_and_Email_Testing_Evidence\BSI.IT.6.C7.3_E03_All Data Integrity Validation Testing_FV.xls, row 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6"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9, Y/N Format, Headers, Content = Y</t>
        </is>
      </c>
      <c r="M6" s="25" t="inlineStr">
        <is>
          <t>MA01: BSI.IT.6.C7.3-Evidences\01_Management_Attestation_In-Scope_Applications\MA01_BSI In-Scope Applications-2026.png, BSI In-Scope Applications-2026, App ID 1867 selected; 2025 DR Test Scope, 2025 Backup/Restore Test Scope and 2025 Backup/Restore DIV Scope = True
E01: BSI.IT.6.C7.3-Evidences\04_Data_Integrity_and_Email_Testing_Evidence\BSI.IT.6.C7.3_E01_Applications In Scope for DR Test BSI (13).xlsx, row 19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6"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9, Department Manager / Approval Date / Attestation fields</t>
        </is>
      </c>
      <c r="O6" s="25" t="inlineStr">
        <is>
          <t>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6"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6" s="25" t="inlineStr">
        <is>
          <t>PASS with observations. MA01, BLA01, DMA01, DMA02, E01, E02, E03, E04, E05, E09, E16b</t>
        </is>
      </c>
    </row>
    <row r="7" ht="409" customHeight="1" s="50">
      <c r="A7" s="25" t="n">
        <v>1868</v>
      </c>
      <c r="B7" s="25" t="inlineStr">
        <is>
          <t>E01: BSI.IT.6.C7.3-Evidences\04_Data_Integrity_and_Email_Testing_Evidence\BSI.IT.6.C7.3_E01_Applications In Scope for DR Test BSI (13).xlsx, row 20, Exercise Date 12/11/25, 2025 DR Test Scope = True
E03: BSI.IT.6.C7.3-Evidences\04_Data_Integrity_and_Email_Testing_Evidence\BSI.IT.6.C7.3_E03_All Data Integrity Validation Testing_FV.xls, row 10, Business Data Validation Date 11/15/2025 / Last App DR Test Date
E16b: BSI.IT.6.C7.3-Evidences\04_Data_Integrity_and_Email_Testing_Evidence\BSI.IT.6.C7.3_E16b_All Data Integrity Validation Testing-BSI 2025-26.xlsx, row 10,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7" s="25" t="inlineStr">
        <is>
          <t>MA01: BSI.IT.6.C7.3-Evidences\01_Management_Attestation_In-Scope_Applications\MA01_BSI In-Scope Applications-2026.png, BSI In-Scope Applications-2026, App ID 1868 selected; 2025 Backup/Restore DIV Scope = True
E01: BSI.IT.6.C7.3-Evidences\04_Data_Integrity_and_Email_Testing_Evidence\BSI.IT.6.C7.3_E01_Applications In Scope for DR Test BSI (13).xlsx, row 20, Application ID 1868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t>
        </is>
      </c>
      <c r="D7" s="25" t="inlineStr">
        <is>
          <t>E03: BSI.IT.6.C7.3-Evidences\04_Data_Integrity_and_Email_Testing_Evidence\BSI.IT.6.C7.3_E03_All Data Integrity Validation Testing_FV.xls, row 10, 'Business Tester(s)' column
E16b: BSI.IT.6.C7.3-Evidences\04_Data_Integrity_and_Email_Testing_Evidence\BSI.IT.6.C7.3_E16b_All Data Integrity Validation Testing-BSI 2025-26.xlsx, row 10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7" s="25" t="inlineStr">
        <is>
          <t>E03: BSI.IT.6.C7.3-Evidences\04_Data_Integrity_and_Email_Testing_Evidence\BSI.IT.6.C7.3_E03_All Data Integrity Validation Testing_FV.xls, row 10, Business Data Validation Date 11/15/2025; Y/N Format / Headers / Content = Y
E16b: BSI.IT.6.C7.3-Evidences\04_Data_Integrity_and_Email_Testing_Evidence\BSI.IT.6.C7.3_E16b_All Data Integrity Validation Testing-BSI 2025-26.xlsx, row 10 to 11/15/2025; Y / Y / Y
E04: BSI.IT.6.C7.3-Evidences\04_Data_Integrity_and_Email_Testing_Evidence\BSI.IT.6.C7.3_E04_BCiC_Screenshot for Data Integrity Validation report.jpg, Business Data Validation Date and Y/N columns
BLA01: BSI.IT.6.C7.3-Evidences\02_Business_Line_Approval_Results_Email\BLA01_Client Back Office - FED Inclearing ACH &amp; Cash Letter - DIV Test Results 11-15-2025.pdf, p.1 DIV section (Format / Headers / Content = Y, "No data discrepancy found"); pp.2-14 screenshots</t>
        </is>
      </c>
      <c r="F7" s="25" t="inlineStr">
        <is>
          <t>E03: BSI.IT.6.C7.3-Evidences\04_Data_Integrity_and_Email_Testing_Evidence\BSI.IT.6.C7.3_E03_All Data Integrity Validation Testing_FV.xls, row 10,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7" s="25" t="inlineStr">
        <is>
          <t>E03: BSI.IT.6.C7.3-Evidences\04_Data_Integrity_and_Email_Testing_Evidence\BSI.IT.6.C7.3_E03_All Data Integrity Validation Testing_FV.xls, row 10,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7" s="25" t="inlineStr">
        <is>
          <t>E03: BSI.IT.6.C7.3-Evidences\04_Data_Integrity_and_Email_Testing_Evidence\BSI.IT.6.C7.3_E03_All Data Integrity Validation Testing_FV.xls, row 10, 'Data Integrity Validation Procedures' column
E16b: BSI.IT.6.C7.3-Evidences\04_Data_Integrity_and_Email_Testing_Evidence\BSI.IT.6.C7.3_E16b_All Data Integrity Validation Testing-BSI 2025-26.xlsx, row 10,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7"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7" s="25" t="inlineStr">
        <is>
          <t>E03: BSI.IT.6.C7.3-Evidences\04_Data_Integrity_and_Email_Testing_Evidence\BSI.IT.6.C7.3_E03_All Data Integrity Validation Testing_FV.xls, row 10, BCiC DIV export (tester, dates, manager, Y/N results, attestation)
E16b: BSI.IT.6.C7.3-Evidences\04_Data_Integrity_and_Email_Testing_Evidence\BSI.IT.6.C7.3_E16b_All Data Integrity Validation Testing-BSI 2025-26.xlsx, row 10,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20
E02: BSI.IT.6.C7.3-Evidences\04_Data_Integrity_and_Email_Testing_Evidence\BSI.IT.6.C7.3_E02_screenshot BCiC apps in scope for DR Testing.jpg, BCiC DR-scope view
MA01: BSI.IT.6.C7.3-Evidences\01_Management_Attestation_In-Scope_Applications\MA01_BSI In-Scope Applications-2026.png, App ID 1868 selected in BCiC in-scope view</t>
        </is>
      </c>
      <c r="K7" s="25" t="inlineStr">
        <is>
          <t>E01: BSI.IT.6.C7.3-Evidences\04_Data_Integrity_and_Email_Testing_Evidence\BSI.IT.6.C7.3_E01_Applications In Scope for DR Test BSI (13).xlsx, row 20, Exercise Date 12/11/2025 / 2025 DR Test Scope = True
E03: BSI.IT.6.C7.3-Evidences\04_Data_Integrity_and_Email_Testing_Evidence\BSI.IT.6.C7.3_E03_All Data Integrity Validation Testing_FV.xls, row 10,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7"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10, Y/N Format, Headers, Content = Y</t>
        </is>
      </c>
      <c r="M7" s="25" t="inlineStr">
        <is>
          <t>MA01: BSI.IT.6.C7.3-Evidences\01_Management_Attestation_In-Scope_Applications\MA01_BSI In-Scope Applications-2026.png, BSI In-Scope Applications-2026, App ID 1868 selected; 2025 DR Test Scope, 2025 Backup/Restore Test Scope and 2025 Backup/Restore DIV Scope = True
E01: BSI.IT.6.C7.3-Evidences\04_Data_Integrity_and_Email_Testing_Evidence\BSI.IT.6.C7.3_E01_Applications In Scope for DR Test BSI (13).xlsx, row 20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7"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10, Department Manager / Approval Date / Attestation fields</t>
        </is>
      </c>
      <c r="O7" s="25" t="inlineStr">
        <is>
          <t>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7"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7" s="25" t="inlineStr">
        <is>
          <t>PASS with observations. MA01, BLA01, DMA01, DMA02, E01, E02, E03, E04, E05, E09, E16b</t>
        </is>
      </c>
    </row>
    <row r="8" ht="409" customHeight="1" s="50">
      <c r="A8" s="25" t="n">
        <v>3299</v>
      </c>
      <c r="B8" s="25" t="inlineStr">
        <is>
          <t>E01: BSI.IT.6.C7.3-Evidences\04_Data_Integrity_and_Email_Testing_Evidence\BSI.IT.6.C7.3_E01_Applications In Scope for DR Test BSI (13).xlsx, row 24, Exercise Date 11/15/25, 2025 DR Test Scope = True
E03: BSI.IT.6.C7.3-Evidences\04_Data_Integrity_and_Email_Testing_Evidence\BSI.IT.6.C7.3_E03_All Data Integrity Validation Testing_FV.xls, rows 5, 11, 13, 51, 53, 57, Business Data Validation Date 11/15/2025 / Last App DR Test Date
E16b: BSI.IT.6.C7.3-Evidences\04_Data_Integrity_and_Email_Testing_Evidence\BSI.IT.6.C7.3_E16b_All Data Integrity Validation Testing-BSI 2025-26.xlsx, rows 5, 11, 13, 52, 54, 58,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t>
        </is>
      </c>
      <c r="C8" s="25" t="inlineStr">
        <is>
          <t>MA01: BSI.IT.6.C7.3-Evidences\01_Management_Attestation_In-Scope_Applications\MA01_BSI In-Scope Applications-2026.png, BSI In-Scope Applications-2026, App ID 3299 selected; 2025 Backup/Restore DIV Scope = True
E01: BSI.IT.6.C7.3-Evidences\04_Data_Integrity_and_Email_Testing_Evidence\BSI.IT.6.C7.3_E01_Applications In Scope for DR Test BSI (13).xlsx, row 24, Application ID 3299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t>
        </is>
      </c>
      <c r="D8" s="25" t="inlineStr">
        <is>
          <t>E03: BSI.IT.6.C7.3-Evidences\04_Data_Integrity_and_Email_Testing_Evidence\BSI.IT.6.C7.3_E03_All Data Integrity Validation Testing_FV.xls, rows 5, 11, 13, 51, 53, 57, 'Business Tester(s)' column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8" s="25" t="inlineStr">
        <is>
          <t>E03: BSI.IT.6.C7.3-Evidences\04_Data_Integrity_and_Email_Testing_Evidence\BSI.IT.6.C7.3_E03_All Data Integrity Validation Testing_FV.xls, rows 5, 11, 13, 51, 53, 57, Business Data Validation Date 11/15/2025; Y/N Format / Headers / Content = Y
E16b: BSI.IT.6.C7.3-Evidences\04_Data_Integrity_and_Email_Testing_Evidence\BSI.IT.6.C7.3_E16b_All Data Integrity Validation Testing-BSI 2025-26.xlsx, rows 5, 11, 13, 52, 54, 58 to 11/15/2025; Y / Y / Y
E04: BSI.IT.6.C7.3-Evidences\04_Data_Integrity_and_Email_Testing_Evidence\BSI.IT.6.C7.3_E04_BCiC_Screenshot for Data Integrity Validation report.jpg, Business Data Validation Date and Y/N columns
BLA01: BSI.IT.6.C7.3-Evidences\02_Business_Line_Approval_Results_Email\BLA01_Client Back Office - FED Inclearing ACH &amp; Cash Letter - DIV Test Results 11-15-2025.pdf, p.1 DIV section (Format / Headers / Content = Y, "No data discrepancy found"); pp.2-14 screenshots
BLA02: BSI.IT.6.C7.3-Evidences\02_Business_Line_Approval_Results_Email\BLA02_BSA_AML_OFAC Compliance - OFAC Verifier - DIV Test Results 11-15-2025.pdf, p.1 DIV procedure &amp; in-scope apps; pp.2-14 production-day 11/14 versus test-day 11/15 screenshots</t>
        </is>
      </c>
      <c r="F8" s="25" t="inlineStr">
        <is>
          <t>E03: BSI.IT.6.C7.3-Evidences\04_Data_Integrity_and_Email_Testing_Evidence\BSI.IT.6.C7.3_E03_All Data Integrity Validation Testing_FV.xls, rows 5, 11, 13, 51, 53, 57,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G8" s="25" t="inlineStr">
        <is>
          <t>E03: BSI.IT.6.C7.3-Evidences\04_Data_Integrity_and_Email_Testing_Evidence\BSI.IT.6.C7.3_E03_All Data Integrity Validation Testing_FV.xls, rows 5, 11, 13, 51, 53, 57,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H8" s="25" t="inlineStr">
        <is>
          <t>E03: BSI.IT.6.C7.3-Evidences\04_Data_Integrity_and_Email_Testing_Evidence\BSI.IT.6.C7.3_E03_All Data Integrity Validation Testing_FV.xls, rows 5, 11, 13, 51, 53, 57, 'Data Integrity Validation Procedures' column
E16b: BSI.IT.6.C7.3-Evidences\04_Data_Integrity_and_Email_Testing_Evidence\BSI.IT.6.C7.3_E16b_All Data Integrity Validation Testing-BSI 2025-26.xlsx, rows 5, 11, 13, 52, 54, 58,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t>
        </is>
      </c>
      <c r="I8" s="25" t="inlineStr">
        <is>
          <t>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J8" s="25" t="inlineStr">
        <is>
          <t>E03: BSI.IT.6.C7.3-Evidences\04_Data_Integrity_and_Email_Testing_Evidence\BSI.IT.6.C7.3_E03_All Data Integrity Validation Testing_FV.xls, rows 5, 11, 13, 51, 53, 57, BCiC DIV export (tester, dates, manager, Y/N results, attestation)
E16b: BSI.IT.6.C7.3-Evidences\04_Data_Integrity_and_Email_Testing_Evidence\BSI.IT.6.C7.3_E16b_All Data Integrity Validation Testing-BSI 2025-26.xlsx, rows 5, 11, 13, 52, 54, 58,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24
E02: BSI.IT.6.C7.3-Evidences\04_Data_Integrity_and_Email_Testing_Evidence\BSI.IT.6.C7.3_E02_screenshot BCiC apps in scope for DR Testing.jpg, BCiC DR-scope view
MA01: BSI.IT.6.C7.3-Evidences\01_Management_Attestation_In-Scope_Applications\MA01_BSI In-Scope Applications-2026.png, App ID 3299 selected in BCiC in-scope view</t>
        </is>
      </c>
      <c r="K8" s="25" t="inlineStr">
        <is>
          <t>E01: BSI.IT.6.C7.3-Evidences\04_Data_Integrity_and_Email_Testing_Evidence\BSI.IT.6.C7.3_E01_Applications In Scope for DR Test BSI (13).xlsx, row 24, Exercise Date 11/15/2025 / 2025 DR Test Scope = True
E03: BSI.IT.6.C7.3-Evidences\04_Data_Integrity_and_Email_Testing_Evidence\BSI.IT.6.C7.3_E03_All Data Integrity Validation Testing_FV.xls, rows 5, 11, 13, 51, 53, 57,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t>
        </is>
      </c>
      <c r="L8"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rows 5, 11, 13, 51, 53, 57, Y/N Format, Headers, Content = Y</t>
        </is>
      </c>
      <c r="M8" s="25" t="inlineStr">
        <is>
          <t>MA01: BSI.IT.6.C7.3-Evidences\01_Management_Attestation_In-Scope_Applications\MA01_BSI In-Scope Applications-2026.png, BSI In-Scope Applications-2026, App ID 3299 selected; 2025 DR Test Scope, 2025 Backup/Restore Test Scope and 2025 Backup/Restore DIV Scope = True
E01: BSI.IT.6.C7.3-Evidences\04_Data_Integrity_and_Email_Testing_Evidence\BSI.IT.6.C7.3_E01_Applications In Scope for DR Test BSI (13).xlsx, row 24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8"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5, 11, 13, 51, 53, 57, Department Manager / Approval Date / Attestation fields</t>
        </is>
      </c>
      <c r="O8" s="25" t="inlineStr">
        <is>
          <t>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8"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8" s="25" t="inlineStr">
        <is>
          <t>PASS with observations. MA01, BLA01, BLA02, DMA01, DMA02, DMA05, DMA11, E01, E02, E03, E04, E05, E09, E16b</t>
        </is>
      </c>
    </row>
    <row r="9" ht="409" customHeight="1" s="50">
      <c r="A9" s="25" t="n">
        <v>4052</v>
      </c>
      <c r="B9" s="25" t="inlineStr">
        <is>
          <t>E01: BSI.IT.6.C7.3-Evidences\04_Data_Integrity_and_Email_Testing_Evidence\BSI.IT.6.C7.3_E01_Applications In Scope for DR Test BSI (13).xlsx, row 25, Exercise Date 11/15/25, 2025 DR Test Scope = True
E03: BSI.IT.6.C7.3-Evidences\04_Data_Integrity_and_Email_Testing_Evidence\BSI.IT.6.C7.3_E03_All Data Integrity Validation Testing_FV.xls, row 61, Business Data Validation Date 11/15/2025 / Last App DR Test Date
E16b: BSI.IT.6.C7.3-Evidences\04_Data_Integrity_and_Email_Testing_Evidence\BSI.IT.6.C7.3_E16b_All Data Integrity Validation Testing-BSI 2025-26.xlsx, row 62,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BLA04: BSI.IT.6.C7.3-Evidences\02_Business_Line_Approval_Results_Email\BLA04_Investment Operations - Treasury Hub &amp; Derivatives Operations - DIV Test Results 11-15-2025.docx, script header DATE: 11/15/2025</t>
        </is>
      </c>
      <c r="C9" s="25" t="inlineStr">
        <is>
          <t>MA01: BSI.IT.6.C7.3-Evidences\01_Management_Attestation_In-Scope_Applications\MA01_BSI In-Scope Applications-2026.png, BSI In-Scope Applications-2026, App ID 4052 selected; 2025 Backup/Restore DIV Scope = True
E01: BSI.IT.6.C7.3-Evidences\04_Data_Integrity_and_Email_Testing_Evidence\BSI.IT.6.C7.3_E01_Applications In Scope for DR Test BSI (13).xlsx, row 25, Application ID 4052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t>
        </is>
      </c>
      <c r="D9" s="25" t="inlineStr">
        <is>
          <t>E03: BSI.IT.6.C7.3-Evidences\04_Data_Integrity_and_Email_Testing_Evidence\BSI.IT.6.C7.3_E03_All Data Integrity Validation Testing_FV.xls, row 61, 'Business Tester(s)' column
E16b: BSI.IT.6.C7.3-Evidences\04_Data_Integrity_and_Email_Testing_Evidence\BSI.IT.6.C7.3_E16b_All Data Integrity Validation Testing-BSI 2025-26.xlsx, row 62
BLA04: BSI.IT.6.C7.3-Evidences\02_Business_Line_Approval_Results_Email\BLA04_Investment Operations - Treasury Hub &amp; Derivatives Operations - DIV Test Results 11-15-2025.docx, PRINT NAME OF OPERATOR: Michelle Oropesa</t>
        </is>
      </c>
      <c r="E9" s="25" t="inlineStr">
        <is>
          <t>E03: BSI.IT.6.C7.3-Evidences\04_Data_Integrity_and_Email_Testing_Evidence\BSI.IT.6.C7.3_E03_All Data Integrity Validation Testing_FV.xls, row 61, Business Data Validation Date 11/15/2025; Y/N Format / Headers / Content = Y
E16b: BSI.IT.6.C7.3-Evidences\04_Data_Integrity_and_Email_Testing_Evidence\BSI.IT.6.C7.3_E16b_All Data Integrity Validation Testing-BSI 2025-26.xlsx, row 62 to 11/15/2025; Y / Y / Y
BLA04: BSI.IT.6.C7.3-Evidences\02_Business_Line_Approval_Results_Email\BLA04_Investment Operations - Treasury Hub &amp; Derivatives Operations - DIV Test Results 11-15-2025.docx, DIV table (Format / Headers / Content = Yes; MT300 &amp; FX S reports matched 11/14 versus 11/15)</t>
        </is>
      </c>
      <c r="F9" s="25" t="inlineStr">
        <is>
          <t>E03: BSI.IT.6.C7.3-Evidences\04_Data_Integrity_and_Email_Testing_Evidence\BSI.IT.6.C7.3_E03_All Data Integrity Validation Testing_FV.xls, row 61, 'Department Manager' column
DMA04: BSI.IT.6.C7.3-Evidences\03_DIV_Manager_Attestation_Email_Approvals\DMA04_RE_ Management Attestation – DIV – Investment Operations - Michelle Oropesa 08-17-2026.msg</t>
        </is>
      </c>
      <c r="G9" s="25" t="inlineStr">
        <is>
          <t>E03: BSI.IT.6.C7.3-Evidences\04_Data_Integrity_and_Email_Testing_Evidence\BSI.IT.6.C7.3_E03_All Data Integrity Validation Testing_FV.xls, row 61, 'Department Manager Approval Date' and 'Attestation Date' columns
DMA04: BSI.IT.6.C7.3-Evidences\03_DIV_Manager_Attestation_Email_Approvals\DMA04_RE_ Management Attestation – DIV – Investment Operations - Michelle Oropesa 08-17-2026.msg</t>
        </is>
      </c>
      <c r="H9" s="25" t="inlineStr">
        <is>
          <t>E03: BSI.IT.6.C7.3-Evidences\04_Data_Integrity_and_Email_Testing_Evidence\BSI.IT.6.C7.3_E03_All Data Integrity Validation Testing_FV.xls, row 61, 'Data Integrity Validation Procedures' column
E16b: BSI.IT.6.C7.3-Evidences\04_Data_Integrity_and_Email_Testing_Evidence\BSI.IT.6.C7.3_E16b_All Data Integrity Validation Testing-BSI 2025-26.xlsx, row 62, 'Data Integrity Validation Procedures' column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E03: BSI.IT.6.C7.3-Evidences\04_Data_Integrity_and_Email_Testing_Evidence\BSI.IT.6.C7.3_E03_All Data Integrity Validation Testing_FV.xls, row 61, BCiC DIV export (tester, dates, manager, Y/N results, attestation)
E16b: BSI.IT.6.C7.3-Evidences\04_Data_Integrity_and_Email_Testing_Evidence\BSI.IT.6.C7.3_E16b_All Data Integrity Validation Testing-BSI 2025-26.xlsx, row 62,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25
E02: BSI.IT.6.C7.3-Evidences\04_Data_Integrity_and_Email_Testing_Evidence\BSI.IT.6.C7.3_E02_screenshot BCiC apps in scope for DR Testing.jpg, BCiC DR-scope view
MA01: BSI.IT.6.C7.3-Evidences\01_Management_Attestation_In-Scope_Applications\MA01_BSI In-Scope Applications-2026.png, App ID 4052 selected in BCiC in-scope view</t>
        </is>
      </c>
      <c r="K9" s="25" t="inlineStr">
        <is>
          <t>E01: BSI.IT.6.C7.3-Evidences\04_Data_Integrity_and_Email_Testing_Evidence\BSI.IT.6.C7.3_E01_Applications In Scope for DR Test BSI (13).xlsx, row 25, Exercise Date 11/15/2025 / 2025 DR Test Scope = True
E03: BSI.IT.6.C7.3-Evidences\04_Data_Integrity_and_Email_Testing_Evidence\BSI.IT.6.C7.3_E03_All Data Integrity Validation Testing_FV.xls, row 61,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BLA04: BSI.IT.6.C7.3-Evidences\02_Business_Line_Approval_Results_Email\BLA04_Investment Operations - Treasury Hub &amp; Derivatives Operations - DIV Test Results 11-15-2025.docx, dated 11/15/2025</t>
        </is>
      </c>
      <c r="L9"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BLA04: BSI.IT.6.C7.3-Evidences\02_Business_Line_Approval_Results_Email\BLA04_Investment Operations - Treasury Hub &amp; Derivatives Operations - DIV Test Results 11-15-2025.docx, IT DR test script completed by the business-line tester
E03: BSI.IT.6.C7.3-Evidences\04_Data_Integrity_and_Email_Testing_Evidence\BSI.IT.6.C7.3_E03_All Data Integrity Validation Testing_FV.xls, row 61, Y/N Format, Headers, Content = Y</t>
        </is>
      </c>
      <c r="M9" s="25" t="inlineStr">
        <is>
          <t>MA01: BSI.IT.6.C7.3-Evidences\01_Management_Attestation_In-Scope_Applications\MA01_BSI In-Scope Applications-2026.png, BSI In-Scope Applications-2026, App ID 4052 selected; 2025 DR Test Scope, 2025 Backup/Restore Test Scope and 2025 Backup/Restore DIV Scope = True
E01: BSI.IT.6.C7.3-Evidences\04_Data_Integrity_and_Email_Testing_Evidence\BSI.IT.6.C7.3_E01_Applications In Scope for DR Test BSI (13).xlsx, row 25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9" s="25" t="inlineStr">
        <is>
          <t>BLA04: BSI.IT.6.C7.3-Evidences\02_Business_Line_Approval_Results_Email\BLA04_Investment Operations - Treasury Hub &amp; Derivatives Operations - DIV Test Results 11-15-2025.docx, business line DIV results document, 11/15/2025, Investment Operations (operator Michelle Oropesa)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 61, Department Manager / Approval Date / Attestation fields</t>
        </is>
      </c>
      <c r="O9" s="25" t="inlineStr">
        <is>
          <t>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9" s="25"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Q9" s="25" t="inlineStr">
        <is>
          <t>PASS with observations. MA01, BLA04, DMA02, DMA04, E01, E02, E03, E04, E05, E16b</t>
        </is>
      </c>
    </row>
    <row r="10" ht="409" customHeight="1" s="50">
      <c r="A10" s="25" t="n">
        <v>3301</v>
      </c>
      <c r="B10" s="25" t="inlineStr">
        <is>
          <t>E01: BSI.IT.6.C7.3-Evidences\04_Data_Integrity_and_Email_Testing_Evidence\BSI.IT.6.C7.3_E01_Applications In Scope for DR Test BSI (13).xlsx, row 31, Exercise Date 11/15/25, 2025 DR Test Scope = True
E03: BSI.IT.6.C7.3-Evidences\04_Data_Integrity_and_Email_Testing_Evidence\BSI.IT.6.C7.3_E03_All Data Integrity Validation Testing_FV.xls, rows 25, 29, Business Data Validation Date 11/15/2025 / Last App DR Test Date
E16b: BSI.IT.6.C7.3-Evidences\04_Data_Integrity_and_Email_Testing_Evidence\BSI.IT.6.C7.3_E16b_All Data Integrity Validation Testing-BSI 2025-26.xlsx, rows 25, 29,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t>
        </is>
      </c>
      <c r="C10" s="25" t="inlineStr">
        <is>
          <t>MA01: BSI.IT.6.C7.3-Evidences\01_Management_Attestation_In-Scope_Applications\MA01_BSI In-Scope Applications-2026.png, BSI In-Scope Applications-2026, App ID 3301 selected; 2025 Backup/Restore DIV Scope = True
E01: BSI.IT.6.C7.3-Evidences\04_Data_Integrity_and_Email_Testing_Evidence\BSI.IT.6.C7.3_E01_Applications In Scope for DR Test BSI (13).xlsx, row 31, Application ID 3301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t>
        </is>
      </c>
      <c r="D10" s="25" t="inlineStr">
        <is>
          <t>E03: BSI.IT.6.C7.3-Evidences\04_Data_Integrity_and_Email_Testing_Evidence\BSI.IT.6.C7.3_E03_All Data Integrity Validation Testing_FV.xls, rows 25, 29, 'Business Tester(s)' column
E16b: BSI.IT.6.C7.3-Evidences\04_Data_Integrity_and_Email_Testing_Evidence\BSI.IT.6.C7.3_E16b_All Data Integrity Validation Testing-BSI 2025-26.xlsx, rows 25, 29
BLA03: BSI.IT.6.C7.3-Evidences\02_Business_Line_Approval_Results_Email\BLA03_Payments &amp; Cash Management - Payments Script - DIV Test Results 11-15-2025.pdf, PRINT NAME OF OPERATOR: Frank Puentes / Gustavo Bucaro</t>
        </is>
      </c>
      <c r="E10" s="25" t="inlineStr">
        <is>
          <t>E03: BSI.IT.6.C7.3-Evidences\04_Data_Integrity_and_Email_Testing_Evidence\BSI.IT.6.C7.3_E03_All Data Integrity Validation Testing_FV.xls, rows 25, 29, Business Data Validation Date 11/15/2025; Y/N Format / Headers / Content = Y
E16b: BSI.IT.6.C7.3-Evidences\04_Data_Integrity_and_Email_Testing_Evidence\BSI.IT.6.C7.3_E16b_All Data Integrity Validation Testing-BSI 2025-26.xlsx, rows 25, 29 to 11/15/2025; Y / Y / Y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0" s="25" t="inlineStr">
        <is>
          <t>E03: BSI.IT.6.C7.3-Evidences\04_Data_Integrity_and_Email_Testing_Evidence\BSI.IT.6.C7.3_E03_All Data Integrity Validation Testing_FV.xls, rows 25, 29, 'Department Manager' column
DMA03: BSI.IT.6.C7.3-Evidences\03_DIV_Manager_Attestation_Email_Approvals\DMA03_RE_ Management Attestation – DIV – Payments &amp; Cash Management - Frank Puentes 08-18-2026.msg</t>
        </is>
      </c>
      <c r="G10" s="25" t="inlineStr">
        <is>
          <t>E03: BSI.IT.6.C7.3-Evidences\04_Data_Integrity_and_Email_Testing_Evidence\BSI.IT.6.C7.3_E03_All Data Integrity Validation Testing_FV.xls, rows 25, 29, 'Department Manager Approval Date' and 'Attestation Date' columns
DMA03: BSI.IT.6.C7.3-Evidences\03_DIV_Manager_Attestation_Email_Approvals\DMA03_RE_ Management Attestation – DIV – Payments &amp; Cash Management - Frank Puentes 08-18-2026.msg</t>
        </is>
      </c>
      <c r="H10" s="25" t="inlineStr">
        <is>
          <t>E03: BSI.IT.6.C7.3-Evidences\04_Data_Integrity_and_Email_Testing_Evidence\BSI.IT.6.C7.3_E03_All Data Integrity Validation Testing_FV.xls, rows 25, 29, 'Data Integrity Validation Procedures' column
E16b: BSI.IT.6.C7.3-Evidences\04_Data_Integrity_and_Email_Testing_Evidence\BSI.IT.6.C7.3_E16b_All Data Integrity Validation Testing-BSI 2025-26.xlsx, rows 25, 29,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E03: BSI.IT.6.C7.3-Evidences\04_Data_Integrity_and_Email_Testing_Evidence\BSI.IT.6.C7.3_E03_All Data Integrity Validation Testing_FV.xls, rows 25, 29, BCiC DIV export (tester, dates, manager, Y/N results, attestation)
E16b: BSI.IT.6.C7.3-Evidences\04_Data_Integrity_and_Email_Testing_Evidence\BSI.IT.6.C7.3_E16b_All Data Integrity Validation Testing-BSI 2025-26.xlsx, rows 25, 29,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31
E02: BSI.IT.6.C7.3-Evidences\04_Data_Integrity_and_Email_Testing_Evidence\BSI.IT.6.C7.3_E02_screenshot BCiC apps in scope for DR Testing.jpg, BCiC DR-scope view
MA01: BSI.IT.6.C7.3-Evidences\01_Management_Attestation_In-Scope_Applications\MA01_BSI In-Scope Applications-2026.png, App ID 3301 selected in BCiC in-scope view</t>
        </is>
      </c>
      <c r="K10" s="25" t="inlineStr">
        <is>
          <t>E01: BSI.IT.6.C7.3-Evidences\04_Data_Integrity_and_Email_Testing_Evidence\BSI.IT.6.C7.3_E01_Applications In Scope for DR Test BSI (13).xlsx, row 31, Exercise Date 11/15/2025 / 2025 DR Test Scope = True
E03: BSI.IT.6.C7.3-Evidences\04_Data_Integrity_and_Email_Testing_Evidence\BSI.IT.6.C7.3_E03_All Data Integrity Validation Testing_FV.xls, rows 25, 29,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t>
        </is>
      </c>
      <c r="L10"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25, 29, Y/N Format, Headers, Content = Y</t>
        </is>
      </c>
      <c r="M10" s="25" t="inlineStr">
        <is>
          <t>MA01: BSI.IT.6.C7.3-Evidences\01_Management_Attestation_In-Scope_Applications\MA01_BSI In-Scope Applications-2026.png, BSI In-Scope Applications-2026, App ID 3301 selected; 2025 DR Test Scope, 2025 Backup/Restore Test Scope and 2025 Backup/Restore DIV Scope = True
E01: BSI.IT.6.C7.3-Evidences\04_Data_Integrity_and_Email_Testing_Evidence\BSI.IT.6.C7.3_E01_Applications In Scope for DR Test BSI (13).xlsx, row 31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0"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DMA03: BSI.IT.6.C7.3-Evidences\03_DIV_Manager_Attestation_Email_Approvals\DMA03_RE_ Management Attestation – DIV – Payments &amp; Cash Management - Frank Puentes 08-18-2026.msg
E03: BSI.IT.6.C7.3-Evidences\04_Data_Integrity_and_Email_Testing_Evidence\BSI.IT.6.C7.3_E03_All Data Integrity Validation Testing_FV.xls, rows 25, 29, Department Manager / Approval Date / Attestation fields</t>
        </is>
      </c>
      <c r="O10" s="25" t="inlineStr">
        <is>
          <t>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0"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0" s="25" t="inlineStr">
        <is>
          <t>PASS with observations. MA01, BLA03, DMA02, DMA03, E01, E02, E03, E04, E05, E07, E08, E16b</t>
        </is>
      </c>
    </row>
    <row r="11" ht="409" customHeight="1" s="50">
      <c r="A11" s="25" t="n">
        <v>1903</v>
      </c>
      <c r="B11" s="25" t="inlineStr">
        <is>
          <t>E01: BSI.IT.6.C7.3-Evidences\04_Data_Integrity_and_Email_Testing_Evidence\BSI.IT.6.C7.3_E01_Applications In Scope for DR Test BSI (13).xlsx, row 34, Exercise Date 11/15/25, 2025 DR Test Scope = True
E03: BSI.IT.6.C7.3-Evidences\04_Data_Integrity_and_Email_Testing_Evidence\BSI.IT.6.C7.3_E03_All Data Integrity Validation Testing_FV.xls, rows 6, 26, 30, 34, 58, Business Data Validation Date 11/15/2025 / Last App DR Test Date
E16b: BSI.IT.6.C7.3-Evidences\04_Data_Integrity_and_Email_Testing_Evidence\BSI.IT.6.C7.3_E16b_All Data Integrity Validation Testing-BSI 2025-26.xlsx, rows 6, 26, 30, 34, 59,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t>
        </is>
      </c>
      <c r="C11" s="25" t="inlineStr">
        <is>
          <t>MA01: BSI.IT.6.C7.3-Evidences\01_Management_Attestation_In-Scope_Applications\MA01_BSI In-Scope Applications-2026.png, BSI In-Scope Applications-2026, App ID 1903 selected; 2025 Backup/Restore DIV Scope = True
E01: BSI.IT.6.C7.3-Evidences\04_Data_Integrity_and_Email_Testing_Evidence\BSI.IT.6.C7.3_E01_Applications In Scope for DR Test BSI (13).xlsx, row 34, Application ID 1903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t>
        </is>
      </c>
      <c r="D11" s="25" t="inlineStr">
        <is>
          <t>E03: BSI.IT.6.C7.3-Evidences\04_Data_Integrity_and_Email_Testing_Evidence\BSI.IT.6.C7.3_E03_All Data Integrity Validation Testing_FV.xls, rows 6, 26, 30, 34, 58, 'Business Tester(s)' column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Business Tester(s) column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t>
        </is>
      </c>
      <c r="E11" s="25" t="inlineStr">
        <is>
          <t>E03: BSI.IT.6.C7.3-Evidences\04_Data_Integrity_and_Email_Testing_Evidence\BSI.IT.6.C7.3_E03_All Data Integrity Validation Testing_FV.xls, rows 6, 26, 30, 34, 58, Business Data Validation Date 11/15/2025; Y/N Format / Headers / Content = Y
E16b: BSI.IT.6.C7.3-Evidences\04_Data_Integrity_and_Email_Testing_Evidence\BSI.IT.6.C7.3_E16b_All Data Integrity Validation Testing-BSI 2025-26.xlsx, rows 6, 26, 30, 34, 59 to 11/15/2025; Y / Y / Y
E04: BSI.IT.6.C7.3-Evidences\04_Data_Integrity_and_Email_Testing_Evidence\BSI.IT.6.C7.3_E04_BCiC_Screenshot for Data Integrity Validation report.jpg, Business Data Validation Date and Y/N columns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1" s="25" t="inlineStr">
        <is>
          <t>E03: BSI.IT.6.C7.3-Evidences\04_Data_Integrity_and_Email_Testing_Evidence\BSI.IT.6.C7.3_E03_All Data Integrity Validation Testing_FV.xls, rows 6, 26, 30, 34, 58,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G11" s="25" t="inlineStr">
        <is>
          <t>E03: BSI.IT.6.C7.3-Evidences\04_Data_Integrity_and_Email_Testing_Evidence\BSI.IT.6.C7.3_E03_All Data Integrity Validation Testing_FV.xls, rows 6, 26, 30, 34, 58,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H11" s="25" t="inlineStr">
        <is>
          <t>E03: BSI.IT.6.C7.3-Evidences\04_Data_Integrity_and_Email_Testing_Evidence\BSI.IT.6.C7.3_E03_All Data Integrity Validation Testing_FV.xls, rows 6, 26, 30, 34, 58, 'Data Integrity Validation Procedures' column
E16b: BSI.IT.6.C7.3-Evidences\04_Data_Integrity_and_Email_Testing_Evidence\BSI.IT.6.C7.3_E16b_All Data Integrity Validation Testing-BSI 2025-26.xlsx, rows 6, 26, 30, 34, 59, 'Data Integrity Validation Procedures' column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1" s="25" t="inlineStr">
        <is>
          <t>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J11" s="25" t="inlineStr">
        <is>
          <t>E03: BSI.IT.6.C7.3-Evidences\04_Data_Integrity_and_Email_Testing_Evidence\BSI.IT.6.C7.3_E03_All Data Integrity Validation Testing_FV.xls, rows 6, 26, 30, 34, 58, BCiC DIV export (tester, dates, manager, Y/N results, attestation)
E16b: BSI.IT.6.C7.3-Evidences\04_Data_Integrity_and_Email_Testing_Evidence\BSI.IT.6.C7.3_E16b_All Data Integrity Validation Testing-BSI 2025-26.xlsx, rows 6, 26, 30, 34, 59,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34
E02: BSI.IT.6.C7.3-Evidences\04_Data_Integrity_and_Email_Testing_Evidence\BSI.IT.6.C7.3_E02_screenshot BCiC apps in scope for DR Testing.jpg, BCiC DR-scope view
MA01: BSI.IT.6.C7.3-Evidences\01_Management_Attestation_In-Scope_Applications\MA01_BSI In-Scope Applications-2026.png, App ID 1903 selected in BCiC in-scope view</t>
        </is>
      </c>
      <c r="K11" s="25" t="inlineStr">
        <is>
          <t>E01: BSI.IT.6.C7.3-Evidences\04_Data_Integrity_and_Email_Testing_Evidence\BSI.IT.6.C7.3_E01_Applications In Scope for DR Test BSI (13).xlsx, row 34, Exercise Date 11/15/2025 / 2025 DR Test Scope = True
E03: BSI.IT.6.C7.3-Evidences\04_Data_Integrity_and_Email_Testing_Evidence\BSI.IT.6.C7.3_E03_All Data Integrity Validation Testing_FV.xls, rows 6, 26, 30, 34, 58,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t>
        </is>
      </c>
      <c r="L11"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6, 26, 30, 34, 58, Y/N Format, Headers, Content = Y</t>
        </is>
      </c>
      <c r="M11" s="25" t="inlineStr">
        <is>
          <t>MA01: BSI.IT.6.C7.3-Evidences\01_Management_Attestation_In-Scope_Applications\MA01_BSI In-Scope Applications-2026.png, BSI In-Scope Applications-2026, App ID 1903 selected; 2025 DR Test Scope, 2025 Backup/Restore Test Scope and 2025 Backup/Restore DIV Scope = True
E01: BSI.IT.6.C7.3-Evidences\04_Data_Integrity_and_Email_Testing_Evidence\BSI.IT.6.C7.3_E01_Applications In Scope for DR Test BSI (13).xlsx, row 34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1" s="25" t="inlineStr">
        <is>
          <t>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6, 26, 30, 34, 58, Department Manager / Approval Date / Attestation fields</t>
        </is>
      </c>
      <c r="O11" s="25" t="inlineStr">
        <is>
          <t>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1" s="25"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1" s="25" t="inlineStr">
        <is>
          <t>PASS with observations. MA01, BLA02, BLA03, DMA02, DMA03, DMA05, E01, E02, E03, E04, E05, E07, E08, E16b</t>
        </is>
      </c>
    </row>
    <row r="12" ht="409" customHeight="1" s="50">
      <c r="A12" s="25" t="n">
        <v>1917</v>
      </c>
      <c r="B12" s="25" t="inlineStr">
        <is>
          <t>E01: BSI.IT.6.C7.3-Evidences\04_Data_Integrity_and_Email_Testing_Evidence\BSI.IT.6.C7.3_E01_Applications In Scope for DR Test BSI (13).xlsx, row 36, Exercise Date 11/15/25, 2025 DR Test Scope = True
E03: BSI.IT.6.C7.3-Evidences\04_Data_Integrity_and_Email_Testing_Evidence\BSI.IT.6.C7.3_E03_All Data Integrity Validation Testing_FV.xls, row 17, Business Data Validation Date 11/15/2025 / Last App DR Test Date
E16b: BSI.IT.6.C7.3-Evidences\04_Data_Integrity_and_Email_Testing_Evidence\BSI.IT.6.C7.3_E16b_All Data Integrity Validation Testing-BSI 2025-26.xlsx, row 17,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BLA05: BSI.IT.6.C7.3-Evidences\02_Business_Line_Approval_Results_Email\BLA05_Financial Analysis and Control - GL ReconXpert - DIV Test Results 11-15-2025.pdf, script header DATE: 11/15/2025</t>
        </is>
      </c>
      <c r="C12" s="25" t="inlineStr">
        <is>
          <t>MA01: BSI.IT.6.C7.3-Evidences\01_Management_Attestation_In-Scope_Applications\MA01_BSI In-Scope Applications-2026.png, BSI In-Scope Applications-2026, App ID 1917 selected; 2025 Backup/Restore DIV Scope = True
E01: BSI.IT.6.C7.3-Evidences\04_Data_Integrity_and_Email_Testing_Evidence\BSI.IT.6.C7.3_E01_Applications In Scope for DR Test BSI (13).xlsx, row 36, Application ID 1917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t>
        </is>
      </c>
      <c r="D12" s="25" t="inlineStr">
        <is>
          <t>E03: BSI.IT.6.C7.3-Evidences\04_Data_Integrity_and_Email_Testing_Evidence\BSI.IT.6.C7.3_E03_All Data Integrity Validation Testing_FV.xls, row 17, 'Business Tester(s)' column
E16b: BSI.IT.6.C7.3-Evidences\04_Data_Integrity_and_Email_Testing_Evidence\BSI.IT.6.C7.3_E16b_All Data Integrity Validation Testing-BSI 2025-26.xlsx, row 17
BLA05: BSI.IT.6.C7.3-Evidences\02_Business_Line_Approval_Results_Email\BLA05_Financial Analysis and Control - GL ReconXpert - DIV Test Results 11-15-2025.pdf, PRINT NAME OF OPERATOR: Dunia Gonzalez Collado</t>
        </is>
      </c>
      <c r="E12" s="25" t="inlineStr">
        <is>
          <t>E03: BSI.IT.6.C7.3-Evidences\04_Data_Integrity_and_Email_Testing_Evidence\BSI.IT.6.C7.3_E03_All Data Integrity Validation Testing_FV.xls, row 17, Business Data Validation Date 11/15/2025; Y/N Format / Headers / Content = Y
E16b: BSI.IT.6.C7.3-Evidences\04_Data_Integrity_and_Email_Testing_Evidence\BSI.IT.6.C7.3_E16b_All Data Integrity Validation Testing-BSI 2025-26.xlsx, row 17 to 11/15/2025; Y / Y / Y
BLA05: BSI.IT.6.C7.3-Evidences\02_Business_Line_Approval_Results_Email\BLA05_Financial Analysis and Control - GL ReconXpert - DIV Test Results 11-15-2025.pdf, p.1 DIV section (Yes / Yes / Yes, no discrepancies); pp.2-9 reconciliation reports 11/13 versus 11/15</t>
        </is>
      </c>
      <c r="F12" s="25" t="inlineStr">
        <is>
          <t>E03: BSI.IT.6.C7.3-Evidences\04_Data_Integrity_and_Email_Testing_Evidence\BSI.IT.6.C7.3_E03_All Data Integrity Validation Testing_FV.xls, row 17, 'Department Manager' column
BLA06: BSI.IT.6.C7.3-Evidences\02_Business_Line_Approval_Results_Email\BLA06_RE_ Testing enviroment - Financial Analysis Manager Approval - Sadis Alvarenga 01-26-2026.msg</t>
        </is>
      </c>
      <c r="G12" s="25" t="inlineStr">
        <is>
          <t>E03: BSI.IT.6.C7.3-Evidences\04_Data_Integrity_and_Email_Testing_Evidence\BSI.IT.6.C7.3_E03_All Data Integrity Validation Testing_FV.xls, row 17, 'Department Manager Approval Date' and 'Attestation Date' columns
BLA06: BSI.IT.6.C7.3-Evidences\02_Business_Line_Approval_Results_Email\BLA06_RE_ Testing enviroment - Financial Analysis Manager Approval - Sadis Alvarenga 01-26-2026.msg</t>
        </is>
      </c>
      <c r="H12" s="25" t="inlineStr">
        <is>
          <t>E03: BSI.IT.6.C7.3-Evidences\04_Data_Integrity_and_Email_Testing_Evidence\BSI.IT.6.C7.3_E03_All Data Integrity Validation Testing_FV.xls, row 17, 'Data Integrity Validation Procedures' column
E16b: BSI.IT.6.C7.3-Evidences\04_Data_Integrity_and_Email_Testing_Evidence\BSI.IT.6.C7.3_E16b_All Data Integrity Validation Testing-BSI 2025-26.xlsx, row 17, 'Data Integrity Validation Procedures' column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E03: BSI.IT.6.C7.3-Evidences\04_Data_Integrity_and_Email_Testing_Evidence\BSI.IT.6.C7.3_E03_All Data Integrity Validation Testing_FV.xls, row 17, BCiC DIV export (tester, dates, manager, Y/N results, attestation)
E16b: BSI.IT.6.C7.3-Evidences\04_Data_Integrity_and_Email_Testing_Evidence\BSI.IT.6.C7.3_E16b_All Data Integrity Validation Testing-BSI 2025-26.xlsx, row 17,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36
E02: BSI.IT.6.C7.3-Evidences\04_Data_Integrity_and_Email_Testing_Evidence\BSI.IT.6.C7.3_E02_screenshot BCiC apps in scope for DR Testing.jpg, BCiC DR-scope view
MA01: BSI.IT.6.C7.3-Evidences\01_Management_Attestation_In-Scope_Applications\MA01_BSI In-Scope Applications-2026.png, App ID 1917 selected in BCiC in-scope view</t>
        </is>
      </c>
      <c r="K12" s="25" t="inlineStr">
        <is>
          <t>E01: BSI.IT.6.C7.3-Evidences\04_Data_Integrity_and_Email_Testing_Evidence\BSI.IT.6.C7.3_E01_Applications In Scope for DR Test BSI (13).xlsx, row 36, Exercise Date 11/15/2025 / 2025 DR Test Scope = True
E03: BSI.IT.6.C7.3-Evidences\04_Data_Integrity_and_Email_Testing_Evidence\BSI.IT.6.C7.3_E03_All Data Integrity Validation Testing_FV.xls, row 17,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BLA05: BSI.IT.6.C7.3-Evidences\02_Business_Line_Approval_Results_Email\BLA05_Financial Analysis and Control - GL ReconXpert - DIV Test Results 11-15-2025.pdf, dated 11/15/2025</t>
        </is>
      </c>
      <c r="L12"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BLA05: BSI.IT.6.C7.3-Evidences\02_Business_Line_Approval_Results_Email\BLA05_Financial Analysis and Control - GL ReconXpert - DIV Test Results 11-15-2025.pdf, IT DR test script completed by the business-line tester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 17, Y/N Format, Headers, Content = Y</t>
        </is>
      </c>
      <c r="M12" s="25" t="inlineStr">
        <is>
          <t>MA01: BSI.IT.6.C7.3-Evidences\01_Management_Attestation_In-Scope_Applications\MA01_BSI In-Scope Applications-2026.png, BSI In-Scope Applications-2026, App ID 1917 selected; 2025 DR Test Scope, 2025 Backup/Restore Test Scope and 2025 Backup/Restore DIV Scope = True
E01: BSI.IT.6.C7.3-Evidences\04_Data_Integrity_and_Email_Testing_Evidence\BSI.IT.6.C7.3_E01_Applications In Scope for DR Test BSI (13).xlsx, row 36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2" s="25" t="inlineStr">
        <is>
          <t>BLA05: BSI.IT.6.C7.3-Evidences\02_Business_Line_Approval_Results_Email\BLA05_Financial Analysis and Control - GL ReconXpert - DIV Test Results 11-15-2025.pdf, business line DIV results document, 11/15/2025, Finance &amp; Accounting Reporting (operator Dunia Gonzalez Collado)
BLA06: BSI.IT.6.C7.3-Evidences\02_Business_Line_Approval_Results_Email\BLA06_RE_ Testing enviroment - Financial Analysis Manager Approval - Sadis Alvarenga 01-26-2026.msg
E03: BSI.IT.6.C7.3-Evidences\04_Data_Integrity_and_Email_Testing_Evidence\BSI.IT.6.C7.3_E03_All Data Integrity Validation Testing_FV.xls, row 17, Department Manager / Approval Date / Attestation fields</t>
        </is>
      </c>
      <c r="O12" s="25" t="inlineStr">
        <is>
          <t>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2" s="25"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2" s="25" t="inlineStr">
        <is>
          <t>PASS with observations. MA01, BLA05, BLA06, DMA02, E01, E02, E03, E04, E05, E10, E16b</t>
        </is>
      </c>
    </row>
    <row r="13" ht="409" customHeight="1" s="50">
      <c r="A13" s="25" t="n">
        <v>1936</v>
      </c>
      <c r="B13" s="25" t="inlineStr">
        <is>
          <t>E01: BSI.IT.6.C7.3-Evidences\04_Data_Integrity_and_Email_Testing_Evidence\BSI.IT.6.C7.3_E01_Applications In Scope for DR Test BSI (13).xlsx, row 42, Exercise Date 11/15/25, 2025 DR Test Scope = True
E03: BSI.IT.6.C7.3-Evidences\04_Data_Integrity_and_Email_Testing_Evidence\BSI.IT.6.C7.3_E03_All Data Integrity Validation Testing_FV.xls, rows 7, 60, Business Data Validation Date 11/15/2025 / Last App DR Test Date
E16b: BSI.IT.6.C7.3-Evidences\04_Data_Integrity_and_Email_Testing_Evidence\BSI.IT.6.C7.3_E16b_All Data Integrity Validation Testing-BSI 2025-26.xlsx, rows 7, 61,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t>
        </is>
      </c>
      <c r="C13" s="25" t="inlineStr">
        <is>
          <t>MA01: BSI.IT.6.C7.3-Evidences\01_Management_Attestation_In-Scope_Applications\MA01_BSI In-Scope Applications-2026.png, BSI In-Scope Applications-2026, App ID 1936 selected; 2025 Backup/Restore DIV Scope = True
E01: BSI.IT.6.C7.3-Evidences\04_Data_Integrity_and_Email_Testing_Evidence\BSI.IT.6.C7.3_E01_Applications In Scope for DR Test BSI (13).xlsx, row 42, Application ID 1936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t>
        </is>
      </c>
      <c r="D13" s="25" t="inlineStr">
        <is>
          <t>E03: BSI.IT.6.C7.3-Evidences\04_Data_Integrity_and_Email_Testing_Evidence\BSI.IT.6.C7.3_E03_All Data Integrity Validation Testing_FV.xls, rows 7, 60, 'Business Tester(s)' column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Business Tester(s) column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t>
        </is>
      </c>
      <c r="E13" s="25" t="inlineStr">
        <is>
          <t>E03: BSI.IT.6.C7.3-Evidences\04_Data_Integrity_and_Email_Testing_Evidence\BSI.IT.6.C7.3_E03_All Data Integrity Validation Testing_FV.xls, rows 7, 60, Business Data Validation Date 11/15/2025; Y/N Format / Headers / Content = Y
E16b: BSI.IT.6.C7.3-Evidences\04_Data_Integrity_and_Email_Testing_Evidence\BSI.IT.6.C7.3_E16b_All Data Integrity Validation Testing-BSI 2025-26.xlsx, rows 7, 61 to 11/15/2025; Y / Y / Y
E04: BSI.IT.6.C7.3-Evidences\04_Data_Integrity_and_Email_Testing_Evidence\BSI.IT.6.C7.3_E04_BCiC_Screenshot for Data Integrity Validation report.jpg, Business Data Validation Date and Y/N columns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3" s="25" t="inlineStr">
        <is>
          <t>E03: BSI.IT.6.C7.3-Evidences\04_Data_Integrity_and_Email_Testing_Evidence\BSI.IT.6.C7.3_E03_All Data Integrity Validation Testing_FV.xls, rows 7, 60,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G13" s="25" t="inlineStr">
        <is>
          <t>E03: BSI.IT.6.C7.3-Evidences\04_Data_Integrity_and_Email_Testing_Evidence\BSI.IT.6.C7.3_E03_All Data Integrity Validation Testing_FV.xls, rows 7, 60,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H13" s="25" t="inlineStr">
        <is>
          <t>E03: BSI.IT.6.C7.3-Evidences\04_Data_Integrity_and_Email_Testing_Evidence\BSI.IT.6.C7.3_E03_All Data Integrity Validation Testing_FV.xls, rows 7, 60, 'Data Integrity Validation Procedures' column
E16b: BSI.IT.6.C7.3-Evidences\04_Data_Integrity_and_Email_Testing_Evidence\BSI.IT.6.C7.3_E16b_All Data Integrity Validation Testing-BSI 2025-26.xlsx, rows 7, 61,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13" s="25" t="inlineStr">
        <is>
          <t>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J13" s="25" t="inlineStr">
        <is>
          <t>E03: BSI.IT.6.C7.3-Evidences\04_Data_Integrity_and_Email_Testing_Evidence\BSI.IT.6.C7.3_E03_All Data Integrity Validation Testing_FV.xls, rows 7, 60, BCiC DIV export (tester, dates, manager, Y/N results, attestation)
E16b: BSI.IT.6.C7.3-Evidences\04_Data_Integrity_and_Email_Testing_Evidence\BSI.IT.6.C7.3_E16b_All Data Integrity Validation Testing-BSI 2025-26.xlsx, rows 7, 61,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42
E02: BSI.IT.6.C7.3-Evidences\04_Data_Integrity_and_Email_Testing_Evidence\BSI.IT.6.C7.3_E02_screenshot BCiC apps in scope for DR Testing.jpg, BCiC DR-scope view
MA01: BSI.IT.6.C7.3-Evidences\01_Management_Attestation_In-Scope_Applications\MA01_BSI In-Scope Applications-2026.png, App ID 1936 selected in BCiC in-scope view</t>
        </is>
      </c>
      <c r="K13" s="25" t="inlineStr">
        <is>
          <t>E01: BSI.IT.6.C7.3-Evidences\04_Data_Integrity_and_Email_Testing_Evidence\BSI.IT.6.C7.3_E01_Applications In Scope for DR Test BSI (13).xlsx, row 42, Exercise Date 11/15/2025 / 2025 DR Test Scope = True
E03: BSI.IT.6.C7.3-Evidences\04_Data_Integrity_and_Email_Testing_Evidence\BSI.IT.6.C7.3_E03_All Data Integrity Validation Testing_FV.xls, rows 7, 60,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t>
        </is>
      </c>
      <c r="L13"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7, 60, Y/N Format, Headers, Content = Y</t>
        </is>
      </c>
      <c r="M13" s="25" t="inlineStr">
        <is>
          <t>MA01: BSI.IT.6.C7.3-Evidences\01_Management_Attestation_In-Scope_Applications\MA01_BSI In-Scope Applications-2026.png, BSI In-Scope Applications-2026, App ID 1936 selected; 2025 DR Test Scope, 2025 Backup/Restore Test Scope and 2025 Backup/Restore DIV Scope = True
E01: BSI.IT.6.C7.3-Evidences\04_Data_Integrity_and_Email_Testing_Evidence\BSI.IT.6.C7.3_E01_Applications In Scope for DR Test BSI (13).xlsx, row 42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3"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rows 7, 60, Department Manager / Approval Date / Attestation fields</t>
        </is>
      </c>
      <c r="O13" s="25" t="inlineStr">
        <is>
          <t>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3"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3" s="25" t="inlineStr">
        <is>
          <t>PASS with observations. MA01, BLA03, BLA04, DMA02, DMA04, E01, E02, E03, E04, E05, E07, E08, E16b</t>
        </is>
      </c>
    </row>
    <row r="14" ht="409" customHeight="1" s="50">
      <c r="A14" s="25" t="n">
        <v>1937</v>
      </c>
      <c r="B14" s="25" t="inlineStr">
        <is>
          <t>E01: BSI.IT.6.C7.3-Evidences\04_Data_Integrity_and_Email_Testing_Evidence\BSI.IT.6.C7.3_E01_Applications In Scope for DR Test BSI (13).xlsx, row 43, Exercise Date 11/15/25,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E16b: BSI.IT.6.C7.3-Evidences\04_Data_Integrity_and_Email_Testing_Evidence\BSI.IT.6.C7.3_E16b_All Data Integrity Validation Testing-BSI 2025-26.xlsx, rows 3, 8, 12, 14, 15, 16, 18, 19, 20, 21, 23, 27, 31, 33, 35, 36, 37, 38, 39, 40, 41, 42, 43, 44, 45, 46, 47, 49, 50, 51, 53, 55, 56, 57, 60, 63, 64,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
BLA05: BSI.IT.6.C7.3-Evidences\02_Business_Line_Approval_Results_Email\BLA05_Financial Analysis and Control - GL ReconXpert - DIV Test Results 11-15-2025.pdf, script header DATE: 11/15/2025</t>
        </is>
      </c>
      <c r="C14" s="25" t="inlineStr">
        <is>
          <t>MA01: BSI.IT.6.C7.3-Evidences\01_Management_Attestation_In-Scope_Applications\MA01_BSI In-Scope Applications-2026.png, BSI In-Scope Applications-2026, App ID 1937 selected; 2025 Backup/Restore DIV Scope = True
E01: BSI.IT.6.C7.3-Evidences\04_Data_Integrity_and_Email_Testing_Evidence\BSI.IT.6.C7.3_E01_Applications In Scope for DR Test BSI (13).xlsx, row 43, Application ID 1937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t>
        </is>
      </c>
      <c r="D14" s="25" t="inlineStr">
        <is>
          <t>E03: BSI.IT.6.C7.3-Evidences\04_Data_Integrity_and_Email_Testing_Evidence\BSI.IT.6.C7.3_E03_All Data Integrity Validation Testing_FV.xls, rows 3, 8, 12, 14, 15, 16, 18, 19, 20, 21, 23, 27, 31, 33, 35, 36, 37, 38, 39, 40, 41, 42, 43, 44, 45, 46, 48, 49, 50, 52, 54, 55, 56, 59, 62, 63, 'Business Tester(s)' column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
BLA05: BSI.IT.6.C7.3-Evidences\02_Business_Line_Approval_Results_Email\BLA05_Financial Analysis and Control - GL ReconXpert - DIV Test Results 11-15-2025.pdf, PRINT NAME OF OPERATOR: Dunia Gonzalez Collado</t>
        </is>
      </c>
      <c r="E14" s="25" t="inlineStr">
        <is>
          <t>E03: BSI.IT.6.C7.3-Evidences\04_Data_Integrity_and_Email_Testing_Evidence\BSI.IT.6.C7.3_E03_All Data Integrity Validation Testing_FV.xls, rows 3, 8, 12, 14, 15, 16, 18, 19, 20, 21, 23, 27, 31, 33, 35, 36, 37, 38, 39, 40, 41, 42, 43, 44, 45, 46, 48, 49, 50, 52, 54, 55, 56, 59, 62, 63, Business Data Validation Date 11/15/2025; Y/N Format / Headers / Content = Y
E16b: BSI.IT.6.C7.3-Evidences\04_Data_Integrity_and_Email_Testing_Evidence\BSI.IT.6.C7.3_E16b_All Data Integrity Validation Testing-BSI 2025-26.xlsx, rows 3, 8, 12, 14, 15, 16, 18, 19, 20, 21, 23, 27, 31, 33, 35, 36, 37, 38, 39, 40, 41, 42, 43, 44, 45, 46, 47, 49, 50, 51, 53, 55, 56, 57, 60, 63, 64 to 11/15/2025; Y / Y / Y
E04: BSI.IT.6.C7.3-Evidences\04_Data_Integrity_and_Email_Testing_Evidence\BSI.IT.6.C7.3_E04_BCiC_Screenshot for Data Integrity Validation report.jpg, Business Data Validation Date and Y/N columns
BLA01: BSI.IT.6.C7.3-Evidences\02_Business_Line_Approval_Results_Email\BLA01_Client Back Office - FED Inclearing ACH &amp; Cash Letter - DIV Test Results 11-15-2025.pdf, p.1 DIV section (Format / Headers / Content = Y, "No data discrepancy found"); pp.2-14 screenshots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BLA05: BSI.IT.6.C7.3-Evidences\02_Business_Line_Approval_Results_Email\BLA05_Financial Analysis and Control - GL ReconXpert - DIV Test Results 11-15-2025.pdf, p.1 DIV section (Yes / Yes / Yes, no discrepancies); pp.2-9 reconciliation reports 11/13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4" s="25" t="inlineStr">
        <is>
          <t>E03: BSI.IT.6.C7.3-Evidences\04_Data_Integrity_and_Email_Testing_Evidence\BSI.IT.6.C7.3_E03_All Data Integrity Validation Testing_FV.xls, rows 3, 8, 12, 14, 15, 16, 18, 19, 20, 21, 23, 27, 31, 33, 35, 36, 37, 38, 39, 40, 41, 42, 43, 44, 45, 46, 48, 49, 50, 52, 54, 55, 56, 59, 62, 63, 'Department Manager' column
E04: BSI.IT.6.C7.3-Evidences\04_Data_Integrity_and_Email_Testing_Evidence\BSI.IT.6.C7.3_E04_BCiC_Screenshot for Data Integrity Validation report.jpg, Department Manager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G14" s="25" t="inlineStr">
        <is>
          <t>E03: BSI.IT.6.C7.3-Evidences\04_Data_Integrity_and_Email_Testing_Evidence\BSI.IT.6.C7.3_E03_All Data Integrity Validation Testing_FV.xls, rows 3, 8, 12, 14, 15, 16, 18, 19, 20, 21, 23, 27, 31, 33, 35, 36, 37, 38, 39, 40, 41, 42, 43, 44, 45, 46, 48, 49, 50, 52, 54, 55, 56, 59, 62, 63, 'Department Manager Approval Date' and 'Attestation Date' columns
E04: BSI.IT.6.C7.3-Evidences\04_Data_Integrity_and_Email_Testing_Evidence\BSI.IT.6.C7.3_E04_BCiC_Screenshot for Data Integrity Validation report.jpg, Department Manager Approval Date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H14" s="25" t="inlineStr">
        <is>
          <t>E03: BSI.IT.6.C7.3-Evidences\04_Data_Integrity_and_Email_Testing_Evidence\BSI.IT.6.C7.3_E03_All Data Integrity Validation Testing_FV.xls, rows 3, 8, 12, 14, 15, 16, 18, 19, 20, 21, 23, 27, 31, 33, 35, 36, 37, 38, 39, 40, 41, 42, 43, 44, 45, 46, 48, 49, 50, 52, 54, 55, 56, 59, 62, 63, 'Data Integrity Validation Procedures' column
E16b: BSI.IT.6.C7.3-Evidences\04_Data_Integrity_and_Email_Testing_Evidence\BSI.IT.6.C7.3_E16b_All Data Integrity Validation Testing-BSI 2025-26.xlsx, rows 3, 8, 12, 14, 15, 16, 18, 19, 20, 21, 23, 27, 31, 33, 35, 36, 37, 38, 39, 40, 41, 42, 43, 44, 45, 46, 47, 49, 50, 51, 53, 55, 56, 57, 60, 63, 64,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4" s="25" t="inlineStr">
        <is>
          <t>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J14" s="25" t="inlineStr">
        <is>
          <t>E03: BSI.IT.6.C7.3-Evidences\04_Data_Integrity_and_Email_Testing_Evidence\BSI.IT.6.C7.3_E03_All Data Integrity Validation Testing_FV.xls, rows 3, 8, 12, 14, 15, 16, 18, 19, 20, 21, 23, 27, 31, 33, 35, 36, 37, 38, 39, 40, 41, 42, 43, 44, 45, 46, 48, 49, 50, 52, 54, 55, 56, 59, 62, 63, BCiC DIV export (tester, dates, manager, Y/N results, attestation)
E16b: BSI.IT.6.C7.3-Evidences\04_Data_Integrity_and_Email_Testing_Evidence\BSI.IT.6.C7.3_E16b_All Data Integrity Validation Testing-BSI 2025-26.xlsx, rows 3, 8, 12, 14, 15, 16, 18, 19, 20, 21, 23, 27, 31, 33, 35, 36, 37, 38, 39, 40, 41, 42, 43, 44, 45, 46, 47, 49, 50, 51, 53, 55, 56, 57, 60, 63, 64,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43
E02: BSI.IT.6.C7.3-Evidences\04_Data_Integrity_and_Email_Testing_Evidence\BSI.IT.6.C7.3_E02_screenshot BCiC apps in scope for DR Testing.jpg, BCiC DR-scope view
MA01: BSI.IT.6.C7.3-Evidences\01_Management_Attestation_In-Scope_Applications\MA01_BSI In-Scope Applications-2026.png, App ID 1937 selected in BCiC in-scope view</t>
        </is>
      </c>
      <c r="K14" s="25" t="inlineStr">
        <is>
          <t>E01: BSI.IT.6.C7.3-Evidences\04_Data_Integrity_and_Email_Testing_Evidence\BSI.IT.6.C7.3_E01_Applications In Scope for DR Test BSI (13).xlsx, row 43, Exercise Date 11/15/2025 /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
BLA05: BSI.IT.6.C7.3-Evidences\02_Business_Line_Approval_Results_Email\BLA05_Financial Analysis and Control - GL ReconXpert - DIV Test Results 11-15-2025.pdf, dated 11/15/2025</t>
        </is>
      </c>
      <c r="L14"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BLA05: BSI.IT.6.C7.3-Evidences\02_Business_Line_Approval_Results_Email\BLA05_Financial Analysis and Control - GL ReconXpert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rows 3, 8, 12, 14, 15, 16, 18, 19, 20, 21, 23, 27, 31, 33, 35, 36, 37, 38, 39, 40, 41, 42, 43, 44, 45, 46, 48, 49, 50, 52, 54, 55, 56, 59, 62, 63, Y/N Format, Headers, Content = Y</t>
        </is>
      </c>
      <c r="M14" s="25" t="inlineStr">
        <is>
          <t>MA01: BSI.IT.6.C7.3-Evidences\01_Management_Attestation_In-Scope_Applications\MA01_BSI In-Scope Applications-2026.png, BSI In-Scope Applications-2026, App ID 1937 selected; 2025 DR Test Scope, 2025 Backup/Restore Test Scope and 2025 Backup/Restore DIV Scope = True
E01: BSI.IT.6.C7.3-Evidences\04_Data_Integrity_and_Email_Testing_Evidence\BSI.IT.6.C7.3_E01_Applications In Scope for DR Test BSI (13).xlsx, row 43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4"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BLA05: BSI.IT.6.C7.3-Evidences\02_Business_Line_Approval_Results_Email\BLA05_Financial Analysis and Control - GL ReconXpert - DIV Test Results 11-15-2025.pdf, business line DIV results document, 11/15/2025, Finance &amp; Accounting Reporting (operator Dunia Gonzalez Collado)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E03: BSI.IT.6.C7.3-Evidences\04_Data_Integrity_and_Email_Testing_Evidence\BSI.IT.6.C7.3_E03_All Data Integrity Validation Testing_FV.xls, rows 3, 8, 12, 14, 15, 16, 18, 19, 20, 21, 23, 27, 31, 33, 35, 36, 37, 38, 39, 40, 41, 42, 43, 44, 45, 46, 48, 49, 50, 52, 54, 55, 56, 59, 62, 63, Department Manager / Approval Date / Attestation fields</t>
        </is>
      </c>
      <c r="O14" s="25" t="inlineStr">
        <is>
          <t>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4"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4" s="25" t="inlineStr">
        <is>
          <t>PASS with observations. MA01, BLA01, BLA02, BLA03, BLA04, BLA05, BLA06, DMA01, DMA02, DMA03, DMA04, DMA05, DMA06, DMA07, DMA08, DMA09, DMA10, DMA11, DMA12, E01, E02, E03, E04, E05, E07, E08, E09, E10, E16b</t>
        </is>
      </c>
    </row>
    <row r="16" ht="15.5" customHeight="1" s="50">
      <c r="A16" s="26" t="inlineStr">
        <is>
          <t>Observations noted while mapping the evidence (full detail is in column Q of the Application Attribute Testing-1 tab)</t>
        </is>
      </c>
    </row>
    <row r="17" ht="45" customHeight="1" s="50">
      <c r="A17" t="n">
        <v>1</v>
      </c>
      <c r="B17" s="64"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s="50">
      <c r="A18" t="n">
        <v>2</v>
      </c>
      <c r="B18" s="64"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s="50">
      <c r="A19" t="n">
        <v>3</v>
      </c>
      <c r="B19" s="64" t="inlineStr">
        <is>
          <t>For FedExport, BCiC shows a Department Manager Approval Date of 06/05/2026 (E03 row 9 and E04), but Claudia Romero's approval email is dated 05/05/2026 (E09). This looks like a data entry error in BCiC.</t>
        </is>
      </c>
    </row>
    <row r="20" ht="45" customHeight="1" s="50">
      <c r="A20" t="n">
        <v>4</v>
      </c>
      <c r="B20" s="64" t="inlineStr">
        <is>
          <t>In the BLA02 test script (BSA/AML/OFAC), the DIV Yes/No answer boxes were left blank.</t>
        </is>
      </c>
    </row>
    <row r="21" ht="45" customHeight="1" s="50">
      <c r="A21" t="n">
        <v>5</v>
      </c>
      <c r="B21" s="64"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s="50">
      <c r="A22" t="n">
        <v>6</v>
      </c>
      <c r="B22" s="64"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3"/>
    <col width="8.6640625" customWidth="1" style="32" min="14" max="16384"/>
  </cols>
  <sheetData>
    <row r="1" ht="18" customHeight="1" s="50">
      <c r="A1" s="30" t="inlineStr">
        <is>
          <t>BSI.IT.6.C7.3: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50">
      <c r="A3" s="46" t="inlineStr">
        <is>
          <t>MA01</t>
        </is>
      </c>
      <c r="B3" s="48">
        <f>HYPERLINK(EvidenceRoot&amp;IF(LEFT(EvidenceRoot,4)="http",SUBSTITUTE("01_Management_Attestation_In-Scope_Applications\MA01_BSI In-Scope Applications-2026.png","\","/"),"01_Management_Attestation_In-Scope_Applications\MA01_BSI In-Scope Applications-2026.png"),"MA01_BSI In-Scope Applications-2026.png")</f>
        <v/>
      </c>
      <c r="C3" s="48">
        <f>HYPERLINK(EvidenceRoot&amp;IF(LEFT(EvidenceRoot,4)="http",SUBSTITUTE("01_Management_Attestation_In-Scope_Applications","\","/"),"01_Management_Attestation_In-Scope_Applications"),"BSI.IT.6.C7.3-Evidences\01_Management_Attestation_In-Scope_Applications")</f>
        <v/>
      </c>
      <c r="D3" s="35" t="inlineStr">
        <is>
          <t>BSI In-Scope Applications-20206.png</t>
        </is>
      </c>
      <c r="E3" s="35" t="inlineStr">
        <is>
          <t>Management_Attestation.zip</t>
        </is>
      </c>
      <c r="F3" s="35" t="inlineStr">
        <is>
          <t>BCiC screenshot</t>
        </is>
      </c>
      <c r="G3" s="35" t="inlineStr">
        <is>
          <t>09/23/2026,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50">
      <c r="A4" s="46" t="inlineStr">
        <is>
          <t>BLA01</t>
        </is>
      </c>
      <c r="B4" s="48">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11-15-2025.pdf"),"BLA01_Client Back Office - FED Inclearing ACH &amp; Cash Letter - DIV Test Results 11-15-2025.pdf")</f>
        <v/>
      </c>
      <c r="C4" s="48">
        <f>HYPERLINK(EvidenceRoot&amp;IF(LEFT(EvidenceRoot,4)="http",SUBSTITUTE("02_Business_Line_Approval_Results_Email","\","/"),"02_Business_Line_Approval_Results_Email"),"BSI.IT.6.C7.3-Evidences\02_Business_Line_Approval_Results_Email")</f>
        <v/>
      </c>
      <c r="D4" s="35" t="inlineStr">
        <is>
          <t>Client Back Office - FED inclearing ACH  Cash letter (1).pdf</t>
        </is>
      </c>
      <c r="E4" s="35" t="inlineStr">
        <is>
          <t>Business Line Approval Results - Email.zip</t>
        </is>
      </c>
      <c r="F4" s="35" t="inlineStr">
        <is>
          <t>DR test script / DIV test results</t>
        </is>
      </c>
      <c r="G4" s="35" t="inlineStr">
        <is>
          <t>11/15/2025, Client Back Office (operator Raimy Ayala)</t>
        </is>
      </c>
      <c r="H4" s="35" t="inlineStr">
        <is>
          <t>DR test script with Data Integrity Validation section. Application in-scope: FedImport, FedExport, Imaging101, T24. Format / Headers / Content = Y, "No data discrepancy found". Steps include ACH Express import and Imaging101 validation screenshots (14 pages).</t>
        </is>
      </c>
      <c r="I4" s="35" t="inlineStr">
        <is>
          <t>1822, 1867, 1868, 3299, 1937</t>
        </is>
      </c>
      <c r="J4" s="35" t="inlineStr">
        <is>
          <t>B, E, F, I, L, M, O</t>
        </is>
      </c>
      <c r="K4" s="35" t="n"/>
      <c r="L4" s="31" t="n"/>
    </row>
    <row r="5" ht="34.5" customHeight="1" s="50">
      <c r="A5" s="46" t="inlineStr">
        <is>
          <t>BLA02</t>
        </is>
      </c>
      <c r="B5" s="48">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11-15-2025.pdf"),"BLA02_BSA_AML_OFAC Compliance - OFAC Verifier - DIV Test Results 11-15-2025.pdf")</f>
        <v/>
      </c>
      <c r="C5" s="48">
        <f>HYPERLINK(EvidenceRoot&amp;IF(LEFT(EvidenceRoot,4)="http",SUBSTITUTE("02_Business_Line_Approval_Results_Email","\","/"),"02_Business_Line_Approval_Results_Email"),"BSI.IT.6.C7.3-Evidences\02_Business_Line_Approval_Results_Email")</f>
        <v/>
      </c>
      <c r="D5" s="35" t="inlineStr">
        <is>
          <t>BSA_AML_OFAC Compliance - DM 11.15.2025 (002) (1).pdf</t>
        </is>
      </c>
      <c r="E5" s="35" t="inlineStr">
        <is>
          <t>Business Line Approval Results - Email.zip</t>
        </is>
      </c>
      <c r="F5" s="35" t="inlineStr">
        <is>
          <t>DR test script / DIV test results</t>
        </is>
      </c>
      <c r="G5" s="35" t="inlineStr">
        <is>
          <t>11/15/2025, BSA/AML/OFAC Compliance (operator David Marquez)</t>
        </is>
      </c>
      <c r="H5" s="35" t="inlineStr">
        <is>
          <t>OFAC Verifier test script. Application in-scope: T24, Imaging101, OFAC. DIV procedure instructions listed; production-day (11/14/2025) versus test-day (11/15/2025) screenshots for T24, Imaging101/ModeloIC and OFAC Report 64. NOTE: DIV Yes/No answer boxes on p.1 are blank.</t>
        </is>
      </c>
      <c r="I5" s="35" t="inlineStr">
        <is>
          <t>3299, 1903, 1937</t>
        </is>
      </c>
      <c r="J5" s="35" t="inlineStr">
        <is>
          <t>B, E, F, I, L, M, O</t>
        </is>
      </c>
      <c r="K5" s="35" t="n"/>
      <c r="L5" s="31" t="n"/>
    </row>
    <row r="6" ht="69" customHeight="1" s="50">
      <c r="A6" s="46" t="inlineStr">
        <is>
          <t>BLA03</t>
        </is>
      </c>
      <c r="B6" s="48">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11-15-2025.pdf"),"BLA03_Payments &amp; Cash Management - Payments Script - DIV Test Results 11-15-2025.pdf")</f>
        <v/>
      </c>
      <c r="C6" s="48">
        <f>HYPERLINK(EvidenceRoot&amp;IF(LEFT(EvidenceRoot,4)="http",SUBSTITUTE("02_Business_Line_Approval_Results_Email","\","/"),"02_Business_Line_Approval_Results_Email"),"BSI.IT.6.C7.3-Evidences\02_Business_Line_Approval_Results_Email")</f>
        <v/>
      </c>
      <c r="D6" s="35" t="inlineStr">
        <is>
          <t>PAYMENTS SCRIPT NOV 2025.pdf</t>
        </is>
      </c>
      <c r="E6" s="35" t="inlineStr">
        <is>
          <t>Business Line Approval Results - Email.zip</t>
        </is>
      </c>
      <c r="F6" s="35" t="inlineStr">
        <is>
          <t>DR test script / DIV test results</t>
        </is>
      </c>
      <c r="G6" s="35" t="inlineStr">
        <is>
          <t>11/15/2025,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50">
      <c r="A7" s="46" t="inlineStr">
        <is>
          <t>BLA04</t>
        </is>
      </c>
      <c r="B7" s="48">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11-15-2025.docx"),"BLA04_Investment Operations - Treasury Hub &amp; Derivatives Operations - DIV Test Results 11-15-2025.docx")</f>
        <v/>
      </c>
      <c r="C7" s="48">
        <f>HYPERLINK(EvidenceRoot&amp;IF(LEFT(EvidenceRoot,4)="http",SUBSTITUTE("02_Business_Line_Approval_Results_Email","\","/"),"02_Business_Line_Approval_Results_Email"),"BSI.IT.6.C7.3-Evidences\02_Business_Line_Approval_Results_Email")</f>
        <v/>
      </c>
      <c r="D7" s="35" t="inlineStr">
        <is>
          <t>Investment Operations- Treasury Hub &amp; Derivatives Operations (1).docx</t>
        </is>
      </c>
      <c r="E7" s="35" t="inlineStr">
        <is>
          <t>Business Line Approval Results - Email.zip</t>
        </is>
      </c>
      <c r="F7" s="35" t="inlineStr">
        <is>
          <t>DR test script / DIV test results</t>
        </is>
      </c>
      <c r="G7" s="35" t="inlineStr">
        <is>
          <t>11/15/2025,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35" t="inlineStr">
        <is>
          <t>4052, 1936, 1937</t>
        </is>
      </c>
      <c r="J7" s="35" t="inlineStr">
        <is>
          <t>B, E, F, I, L, M, O</t>
        </is>
      </c>
      <c r="K7" s="35" t="n"/>
      <c r="L7" s="31" t="n"/>
    </row>
    <row r="8" ht="23" customHeight="1" s="50">
      <c r="A8" s="46" t="inlineStr">
        <is>
          <t>BLA05</t>
        </is>
      </c>
      <c r="B8" s="48">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11-15-2025.pdf"),"BLA05_Financial Analysis and Control - GL ReconXpert - DIV Test Results 11-15-2025.pdf")</f>
        <v/>
      </c>
      <c r="C8" s="48">
        <f>HYPERLINK(EvidenceRoot&amp;IF(LEFT(EvidenceRoot,4)="http",SUBSTITUTE("02_Business_Line_Approval_Results_Email","\","/"),"02_Business_Line_Approval_Results_Email"),"BSI.IT.6.C7.3-Evidences\02_Business_Line_Approval_Results_Email")</f>
        <v/>
      </c>
      <c r="D8" s="35" t="inlineStr">
        <is>
          <t>Financial Analysis and Control-GL (1).pdf</t>
        </is>
      </c>
      <c r="E8" s="35" t="inlineStr">
        <is>
          <t>Business Line Approval Results - Email.zip</t>
        </is>
      </c>
      <c r="F8" s="35" t="inlineStr">
        <is>
          <t>DR test script / DIV test results</t>
        </is>
      </c>
      <c r="G8" s="35" t="inlineStr">
        <is>
          <t>11/15/2025,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50">
      <c r="A9" s="46" t="inlineStr">
        <is>
          <t>BLA06</t>
        </is>
      </c>
      <c r="B9" s="48">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01-26-2026.msg"),"BLA06_RE_ Testing enviroment - Financial Analysis Manager Approval - Sadis Alvarenga 01-26-2026.msg")</f>
        <v/>
      </c>
      <c r="C9" s="48">
        <f>HYPERLINK(EvidenceRoot&amp;IF(LEFT(EvidenceRoot,4)="http",SUBSTITUTE("02_Business_Line_Approval_Results_Email","\","/"),"02_Business_Line_Approval_Results_Email"),"BSI.IT.6.C7.3-Evidences\02_Business_Line_Approval_Results_Email")</f>
        <v/>
      </c>
      <c r="D9" s="35" t="inlineStr">
        <is>
          <t>RE_ Testing enviroment.msg</t>
        </is>
      </c>
      <c r="E9" s="35" t="inlineStr">
        <is>
          <t>Business Line Approval Results - Email.zip</t>
        </is>
      </c>
      <c r="F9" s="35" t="inlineStr">
        <is>
          <t>Email approval</t>
        </is>
      </c>
      <c r="G9" s="35" t="inlineStr">
        <is>
          <t>12/31/2025 &amp; 01/26/2026,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50">
      <c r="A10" s="46" t="inlineStr">
        <is>
          <t>DMA01</t>
        </is>
      </c>
      <c r="B10" s="48">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08-18-2026.msg"),"DMA01_RE_ Management Attestation – DIV – Client Back Office - Claudia Romero 08-18-2026.msg")</f>
        <v/>
      </c>
      <c r="C10" s="48">
        <f>HYPERLINK(EvidenceRoot&amp;IF(LEFT(EvidenceRoot,4)="http",SUBSTITUTE("03_DIV_Manager_Attestation_Email_Approvals","\","/"),"03_DIV_Manager_Attestation_Email_Approvals"),"BSI.IT.6.C7.3-Evidences\03_DIV_Manager_Attestation_Email_Approvals")</f>
        <v/>
      </c>
      <c r="D10" s="35" t="inlineStr">
        <is>
          <t>RE_ Management Attestation – DIV Client Back Office.msg</t>
        </is>
      </c>
      <c r="E10" s="35" t="inlineStr">
        <is>
          <t>DIV Manager Attestation Email_Approvals.zip</t>
        </is>
      </c>
      <c r="F10" s="35" t="inlineStr">
        <is>
          <t>Email attestation</t>
        </is>
      </c>
      <c r="G10" s="35" t="inlineStr">
        <is>
          <t>08/18/2026, Claudia Romero</t>
        </is>
      </c>
      <c r="H10" s="35" t="inlineStr">
        <is>
          <t>Claudia Romero (Client Back Office Manager VP) returns the signed Management Attestation, attachment: Data_Integrity_Attestation_Santander-BCiC (002).pdf (signed Claudia Romero).</t>
        </is>
      </c>
      <c r="I10" s="35" t="inlineStr">
        <is>
          <t>1822, 1867, 1868, 3299, 1937</t>
        </is>
      </c>
      <c r="J10" s="35" t="inlineStr">
        <is>
          <t>G, H, J, O</t>
        </is>
      </c>
      <c r="K10" s="35" t="n"/>
      <c r="L10" s="31" t="n"/>
    </row>
    <row r="11" ht="23" customHeight="1" s="50">
      <c r="A11" s="46" t="inlineStr">
        <is>
          <t>DMA02</t>
        </is>
      </c>
      <c r="B11" s="48">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08-19-2026.msg"),"DMA02_RE_ Management Attestation – DIV – BSA-AML-OFAC Compliance - David Marquez 08-19-2026.msg")</f>
        <v/>
      </c>
      <c r="C11" s="48">
        <f>HYPERLINK(EvidenceRoot&amp;IF(LEFT(EvidenceRoot,4)="http",SUBSTITUTE("03_DIV_Manager_Attestation_Email_Approvals","\","/"),"03_DIV_Manager_Attestation_Email_Approvals"),"BSI.IT.6.C7.3-Evidences\03_DIV_Manager_Attestation_Email_Approvals")</f>
        <v/>
      </c>
      <c r="D11" s="35" t="inlineStr">
        <is>
          <t>RE_ Management Attestation – OFAC.msg</t>
        </is>
      </c>
      <c r="E11" s="35" t="inlineStr">
        <is>
          <t>DIV Manager Attestation Email_Approvals.zip</t>
        </is>
      </c>
      <c r="F11" s="35" t="inlineStr">
        <is>
          <t>Email attestation</t>
        </is>
      </c>
      <c r="G11" s="35" t="inlineStr">
        <is>
          <t>08/19/2026, David Marquez</t>
        </is>
      </c>
      <c r="H11" s="35"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Y/Y/Y; section 3.5: retained in BCMS/BCiC; section 3.6: contemporaneous approval going forward.</t>
        </is>
      </c>
      <c r="I11" s="35" t="inlineStr">
        <is>
          <t>1822, 1867, 1868, 3299, 4052, 3301, 1903, 1917, 1936, 1937</t>
        </is>
      </c>
      <c r="J11" s="35" t="inlineStr">
        <is>
          <t>B, C, G, H, J, L, M, N, O, P</t>
        </is>
      </c>
      <c r="K11" s="35" t="n"/>
      <c r="L11" s="31" t="n"/>
    </row>
    <row r="12" ht="34.5" customHeight="1" s="50">
      <c r="A12" s="46" t="inlineStr">
        <is>
          <t>DMA03</t>
        </is>
      </c>
      <c r="B12" s="48">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08-18-2026.msg"),"DMA03_RE_ Management Attestation – DIV – Payments &amp; Cash Management - Frank Puentes 08-18-2026.msg")</f>
        <v/>
      </c>
      <c r="C12" s="48">
        <f>HYPERLINK(EvidenceRoot&amp;IF(LEFT(EvidenceRoot,4)="http",SUBSTITUTE("03_DIV_Manager_Attestation_Email_Approvals","\","/"),"03_DIV_Manager_Attestation_Email_Approvals"),"BSI.IT.6.C7.3-Evidences\03_DIV_Manager_Attestation_Email_Approvals")</f>
        <v/>
      </c>
      <c r="D12" s="35" t="inlineStr">
        <is>
          <t>Management Attestation – DIV Payment &amp; Cash Management.msg</t>
        </is>
      </c>
      <c r="E12" s="35" t="inlineStr">
        <is>
          <t>DIV Manager Attestation Email_Approvals.zip</t>
        </is>
      </c>
      <c r="F12" s="35" t="inlineStr">
        <is>
          <t>Email attestation</t>
        </is>
      </c>
      <c r="G12" s="35" t="inlineStr">
        <is>
          <t>08/18/2026, Frank Puentes</t>
        </is>
      </c>
      <c r="H12" s="35" t="inlineStr">
        <is>
          <t>Frank Puentes returns the signed attestation: attachment: 4069_001.pdf (scan, signed Executive Director, Payments &amp; Cash Management, 8/18/2026).</t>
        </is>
      </c>
      <c r="I12" s="35" t="inlineStr">
        <is>
          <t>3301, 1903, 1937</t>
        </is>
      </c>
      <c r="J12" s="35" t="inlineStr">
        <is>
          <t>G, H, J, O</t>
        </is>
      </c>
      <c r="K12" s="35" t="n"/>
      <c r="L12" s="31" t="n"/>
    </row>
    <row r="13" ht="34.5" customHeight="1" s="50">
      <c r="A13" s="46" t="inlineStr">
        <is>
          <t>DMA04</t>
        </is>
      </c>
      <c r="B13" s="48">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08-17-2026.msg"),"DMA04_RE_ Management Attestation – DIV – Investment Operations - Michelle Oropesa 08-17-2026.msg")</f>
        <v/>
      </c>
      <c r="C13" s="48">
        <f>HYPERLINK(EvidenceRoot&amp;IF(LEFT(EvidenceRoot,4)="http",SUBSTITUTE("03_DIV_Manager_Attestation_Email_Approvals","\","/"),"03_DIV_Manager_Attestation_Email_Approvals"),"BSI.IT.6.C7.3-Evidences\03_DIV_Manager_Attestation_Email_Approvals")</f>
        <v/>
      </c>
      <c r="D13" s="35" t="inlineStr">
        <is>
          <t>RE_ Management Attestation – DIV Investment Operations.msg</t>
        </is>
      </c>
      <c r="E13" s="35" t="inlineStr">
        <is>
          <t>DIV Manager Attestation Email_Approvals.zip</t>
        </is>
      </c>
      <c r="F13" s="35" t="inlineStr">
        <is>
          <t>Email attestation</t>
        </is>
      </c>
      <c r="G13" s="35" t="inlineStr">
        <is>
          <t>08/17/2026, Michelle Oropesa</t>
        </is>
      </c>
      <c r="H13" s="35" t="inlineStr">
        <is>
          <t>Michelle Oropesa (Investment Operations Director) returns the signed attestation, attachment: Data_Integrity_Attestation_Santander-BCiC.pdf (signed Investment Operations Director, VP, 8/17/2026).</t>
        </is>
      </c>
      <c r="I13" s="35" t="inlineStr">
        <is>
          <t>4052, 1936, 1937</t>
        </is>
      </c>
      <c r="J13" s="35" t="inlineStr">
        <is>
          <t>G, H, J, O</t>
        </is>
      </c>
      <c r="K13" s="35" t="n"/>
      <c r="L13" s="31" t="n"/>
    </row>
    <row r="14" ht="34.5" customHeight="1" s="50">
      <c r="A14" s="46" t="inlineStr">
        <is>
          <t>DMA05</t>
        </is>
      </c>
      <c r="B14" s="48">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08-19-2026.msg"),"DMA05_RE_ Management Attestation – DIV – Operations (Governance &amp; Static Data, Multi-Family Office) - Maria Teresa Del Cerro 08-19-2026.msg")</f>
        <v/>
      </c>
      <c r="C14" s="48">
        <f>HYPERLINK(EvidenceRoot&amp;IF(LEFT(EvidenceRoot,4)="http",SUBSTITUTE("03_DIV_Manager_Attestation_Email_Approvals","\","/"),"03_DIV_Manager_Attestation_Email_Approvals"),"BSI.IT.6.C7.3-Evidences\03_DIV_Manager_Attestation_Email_Approvals")</f>
        <v/>
      </c>
      <c r="D14" s="35" t="inlineStr">
        <is>
          <t>RE_ Management Attestation – DIV Operations.msg</t>
        </is>
      </c>
      <c r="E14" s="35" t="inlineStr">
        <is>
          <t>DIV Manager Attestation Email_Approvals.zip</t>
        </is>
      </c>
      <c r="F14" s="35" t="inlineStr">
        <is>
          <t>Email attestation</t>
        </is>
      </c>
      <c r="G14" s="35" t="inlineStr">
        <is>
          <t>08/19/2026, Maria Teresa (Mayte) Del Cerro</t>
        </is>
      </c>
      <c r="H14" s="35" t="inlineStr">
        <is>
          <t>Senior Director of Operations returns the signed attestation,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50">
      <c r="A15" s="46" t="inlineStr">
        <is>
          <t>DMA06</t>
        </is>
      </c>
      <c r="B15" s="48">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08-18-2026.msg"),"DMA06_RE_ Management Attestation – DIV – Trading &amp; Capital Markets (AIS, Portfolio Advisory, P&amp;I Tech) - Ricardo Garcia-Marques 08-18-2026.msg")</f>
        <v/>
      </c>
      <c r="C15" s="48">
        <f>HYPERLINK(EvidenceRoot&amp;IF(LEFT(EvidenceRoot,4)="http",SUBSTITUTE("03_DIV_Manager_Attestation_Email_Approvals","\","/"),"03_DIV_Manager_Attestation_Email_Approvals"),"BSI.IT.6.C7.3-Evidences\03_DIV_Manager_Attestation_Email_Approvals")</f>
        <v/>
      </c>
      <c r="D15" s="35" t="inlineStr">
        <is>
          <t>RE_ Management Attestation – DIV Trading and Capital Markets.msg</t>
        </is>
      </c>
      <c r="E15" s="35" t="inlineStr">
        <is>
          <t>DIV Manager Attestation Email_Approvals.zip</t>
        </is>
      </c>
      <c r="F15" s="35" t="inlineStr">
        <is>
          <t>Email attestation</t>
        </is>
      </c>
      <c r="G15" s="35" t="inlineStr">
        <is>
          <t>08/18/2026, Ricardo Garcia-Marques</t>
        </is>
      </c>
      <c r="H15" s="35" t="inlineStr">
        <is>
          <t>Attestation and approval from Trading &amp; Capital Markets (covers BCiC records approved by Ricardo Garcia), attachment: Data_Integrity_Attestation_Santander-BCiC_signed.pdf (e-signed MD, Head of Trading &amp; Capital Markets, 08/18/2026 11:45 AM EDT).</t>
        </is>
      </c>
      <c r="I15" s="35" t="inlineStr">
        <is>
          <t>1937</t>
        </is>
      </c>
      <c r="J15" s="35" t="inlineStr">
        <is>
          <t>G, H, J, O</t>
        </is>
      </c>
      <c r="K15" s="35" t="n"/>
      <c r="L15" s="31" t="n"/>
    </row>
    <row r="16" ht="23" customHeight="1" s="50">
      <c r="A16" s="46" t="inlineStr">
        <is>
          <t>DMA07</t>
        </is>
      </c>
      <c r="B16" s="48">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08-18-2026.msg"),"DMA07_RE_ Management Attestation – DIV – Treasury &amp; Capital Planning - Martha Sullivan 08-18-2026.msg")</f>
        <v/>
      </c>
      <c r="C16" s="48">
        <f>HYPERLINK(EvidenceRoot&amp;IF(LEFT(EvidenceRoot,4)="http",SUBSTITUTE("03_DIV_Manager_Attestation_Email_Approvals","\","/"),"03_DIV_Manager_Attestation_Email_Approvals"),"BSI.IT.6.C7.3-Evidences\03_DIV_Manager_Attestation_Email_Approvals")</f>
        <v/>
      </c>
      <c r="D16" s="35" t="inlineStr">
        <is>
          <t>RE_ Management Attestation – DIV Treasury and Capital Planning.msg</t>
        </is>
      </c>
      <c r="E16" s="35" t="inlineStr">
        <is>
          <t>DIV Manager Attestation Email_Approvals.zip</t>
        </is>
      </c>
      <c r="F16" s="35" t="inlineStr">
        <is>
          <t>Email attestation</t>
        </is>
      </c>
      <c r="G16" s="35" t="inlineStr">
        <is>
          <t>08/18/2026, Martha Sullivan</t>
        </is>
      </c>
      <c r="H16" s="35" t="inlineStr">
        <is>
          <t>Martha Sullivan returns the signed attestation, attachment: Data_Integrity_Attestation_Santander-BCiC.pdf (signed Balance Sheet Manager, Treasury).</t>
        </is>
      </c>
      <c r="I16" s="35" t="inlineStr">
        <is>
          <t>1937</t>
        </is>
      </c>
      <c r="J16" s="35" t="inlineStr">
        <is>
          <t>G, H, J, O</t>
        </is>
      </c>
      <c r="K16" s="35" t="n"/>
      <c r="L16" s="31" t="n"/>
    </row>
    <row r="17" ht="23" customHeight="1" s="50">
      <c r="A17" s="46" t="inlineStr">
        <is>
          <t>DMA08</t>
        </is>
      </c>
      <c r="B17" s="48">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08-18-2026.msg"),"DMA08_RE_ Management Attestation – DIV – Solvency &amp; Market Risk (Financial Risk) - Ivan Caisapanta 08-18-2026.msg")</f>
        <v/>
      </c>
      <c r="C17" s="48">
        <f>HYPERLINK(EvidenceRoot&amp;IF(LEFT(EvidenceRoot,4)="http",SUBSTITUTE("03_DIV_Manager_Attestation_Email_Approvals","\","/"),"03_DIV_Manager_Attestation_Email_Approvals"),"BSI.IT.6.C7.3-Evidences\03_DIV_Manager_Attestation_Email_Approvals")</f>
        <v/>
      </c>
      <c r="D17" s="35" t="inlineStr">
        <is>
          <t>RE_ Management Attestation – DIV Solvency and Market Risk.msg</t>
        </is>
      </c>
      <c r="E17" s="35" t="inlineStr">
        <is>
          <t>DIV Manager Attestation Email_Approvals.zip</t>
        </is>
      </c>
      <c r="F17" s="35" t="inlineStr">
        <is>
          <t>Email approval</t>
        </is>
      </c>
      <c r="G17" s="35" t="inlineStr">
        <is>
          <t>08/18/2026, Ivan Caisapanta</t>
        </is>
      </c>
      <c r="H17" s="35" t="inlineStr">
        <is>
          <t>"Hi Elizabeth, You have my approval", Financial Risk (BCiC Department Manager recorded as Xavier Caisapanta).</t>
        </is>
      </c>
      <c r="I17" s="35" t="inlineStr">
        <is>
          <t>1937</t>
        </is>
      </c>
      <c r="J17" s="35" t="inlineStr">
        <is>
          <t>G, H, J, O</t>
        </is>
      </c>
      <c r="K17" s="35" t="n"/>
      <c r="L17" s="31" t="n"/>
    </row>
    <row r="18" ht="23" customHeight="1" s="50">
      <c r="A18" s="46" t="inlineStr">
        <is>
          <t>DMA09</t>
        </is>
      </c>
      <c r="B18" s="48">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08-18-2026.msg"),"DMA09_RE_ Management Attestation – DIV – General Services (Marketing &amp; General Services) - Clara De Castro 08-18-2026.msg")</f>
        <v/>
      </c>
      <c r="C18" s="48">
        <f>HYPERLINK(EvidenceRoot&amp;IF(LEFT(EvidenceRoot,4)="http",SUBSTITUTE("03_DIV_Manager_Attestation_Email_Approvals","\","/"),"03_DIV_Manager_Attestation_Email_Approvals"),"BSI.IT.6.C7.3-Evidences\03_DIV_Manager_Attestation_Email_Approvals")</f>
        <v/>
      </c>
      <c r="D18" s="35" t="inlineStr">
        <is>
          <t>RE_ Management Attestation – DIV General Services.msg</t>
        </is>
      </c>
      <c r="E18" s="35" t="inlineStr">
        <is>
          <t>DIV Manager Attestation Email_Approvals.zip</t>
        </is>
      </c>
      <c r="F18" s="35" t="inlineStr">
        <is>
          <t>Email attestation</t>
        </is>
      </c>
      <c r="G18" s="35" t="inlineStr">
        <is>
          <t>08/18/2026, Clara G. De Castro</t>
        </is>
      </c>
      <c r="H18" s="35" t="inlineStr">
        <is>
          <t>Clara De Castro (Director, General Services &amp; Facilities) returns the signed attestation, attachment: Data_Integrity_Attestation_Santander-BCiC.pdf (signed Clara G. De Castro).</t>
        </is>
      </c>
      <c r="I18" s="35" t="inlineStr">
        <is>
          <t>1937</t>
        </is>
      </c>
      <c r="J18" s="35" t="inlineStr">
        <is>
          <t>G, H, J, O</t>
        </is>
      </c>
      <c r="K18" s="35" t="n"/>
      <c r="L18" s="31" t="n"/>
    </row>
    <row r="19" ht="23" customHeight="1" s="50">
      <c r="A19" s="46" t="inlineStr">
        <is>
          <t>DMA10</t>
        </is>
      </c>
      <c r="B19" s="48">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08-21-2026.eml"),"DMA10_RE_ Management Attestation – DIV – Digital Wealth - Victoria Fernandez 08-21-2026.eml")</f>
        <v/>
      </c>
      <c r="C19" s="48">
        <f>HYPERLINK(EvidenceRoot&amp;IF(LEFT(EvidenceRoot,4)="http",SUBSTITUTE("03_DIV_Manager_Attestation_Email_Approvals","\","/"),"03_DIV_Manager_Attestation_Email_Approvals"),"BSI.IT.6.C7.3-Evidences\03_DIV_Manager_Attestation_Email_Approvals")</f>
        <v/>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Victoria Fernandez</t>
        </is>
      </c>
      <c r="H19" s="35" t="inlineStr">
        <is>
          <t>"Approved": Digital Wealth.</t>
        </is>
      </c>
      <c r="I19" s="35" t="inlineStr">
        <is>
          <t>1937</t>
        </is>
      </c>
      <c r="J19" s="35" t="inlineStr">
        <is>
          <t>G, H, J, O</t>
        </is>
      </c>
      <c r="K19" s="35" t="n"/>
      <c r="L19" s="31" t="n"/>
    </row>
    <row r="20" ht="23" customHeight="1" s="50">
      <c r="A20" s="46" t="inlineStr">
        <is>
          <t>DMA11</t>
        </is>
      </c>
      <c r="B20" s="48">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09-09-2026.eml"),"DMA11_RE_ Management Attestation – DIV – Commercial Middle Office - Miguel Orozco 09-09-2026.eml")</f>
        <v/>
      </c>
      <c r="C20" s="48">
        <f>HYPERLINK(EvidenceRoot&amp;IF(LEFT(EvidenceRoot,4)="http",SUBSTITUTE("03_DIV_Manager_Attestation_Email_Approvals","\","/"),"03_DIV_Manager_Attestation_Email_Approvals"),"BSI.IT.6.C7.3-Evidences\03_DIV_Manager_Attestation_Email_Approvals")</f>
        <v/>
      </c>
      <c r="D20" s="35" t="inlineStr">
        <is>
          <t>RE Management Attestation – DIV Commercial Middle Office.eml</t>
        </is>
      </c>
      <c r="E20" s="35" t="inlineStr">
        <is>
          <t>DIV Manager Attestation Email_Approvals.zip</t>
        </is>
      </c>
      <c r="F20" s="35" t="inlineStr">
        <is>
          <t>Email approval</t>
        </is>
      </c>
      <c r="G20" s="35" t="inlineStr">
        <is>
          <t>09/09/2026,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50">
      <c r="A21" s="46" t="inlineStr">
        <is>
          <t>DMA12</t>
        </is>
      </c>
      <c r="B21" s="48">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09-09-2026.eml"),"DMA12_RE_ Management Attestation – DIV – Client Servicing Unit - Liliana Vizhnay 09-09-2026.eml")</f>
        <v/>
      </c>
      <c r="C21" s="48">
        <f>HYPERLINK(EvidenceRoot&amp;IF(LEFT(EvidenceRoot,4)="http",SUBSTITUTE("03_DIV_Manager_Attestation_Email_Approvals","\","/"),"03_DIV_Manager_Attestation_Email_Approvals"),"BSI.IT.6.C7.3-Evidences\03_DIV_Manager_Attestation_Email_Approvals")</f>
        <v/>
      </c>
      <c r="D21" s="35" t="inlineStr">
        <is>
          <t>RE Management Attestation – DIV Client Servicing Unit.eml</t>
        </is>
      </c>
      <c r="E21" s="35" t="inlineStr">
        <is>
          <t>DIV Manager Attestation Email_Approvals.zip</t>
        </is>
      </c>
      <c r="F21" s="35" t="inlineStr">
        <is>
          <t>Email approval</t>
        </is>
      </c>
      <c r="G21" s="35" t="inlineStr">
        <is>
          <t>09/09/2026, Liliana Vizhnay</t>
        </is>
      </c>
      <c r="H21" s="35" t="inlineStr">
        <is>
          <t>"I approve.", Client Servicing Unit.</t>
        </is>
      </c>
      <c r="I21" s="35" t="inlineStr">
        <is>
          <t>1937</t>
        </is>
      </c>
      <c r="J21" s="35" t="inlineStr">
        <is>
          <t>G, H, J, O</t>
        </is>
      </c>
      <c r="K21" s="35" t="n"/>
      <c r="L21" s="31" t="n"/>
    </row>
    <row r="22" ht="23" customHeight="1" s="50">
      <c r="A22" s="46" t="inlineStr">
        <is>
          <t>DMA13</t>
        </is>
      </c>
      <c r="B22" s="48">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scope).eml"),"DMA13_RE_ Management Attestation – DIV – IT Unified Communication - Cisco Call Manager - Elizabeth Noda 09-09-2026 (out of scope).eml")</f>
        <v/>
      </c>
      <c r="C22" s="48">
        <f>HYPERLINK(EvidenceRoot&amp;IF(LEFT(EvidenceRoot,4)="http",SUBSTITUTE("03_DIV_Manager_Attestation_Email_Approvals","\","/"),"03_DIV_Manager_Attestation_Email_Approvals"),"BSI.IT.6.C7.3-Evidences\03_DIV_Manager_Attestation_Email_Approvals")</f>
        <v/>
      </c>
      <c r="D22" s="35" t="inlineStr">
        <is>
          <t>RE Management Attestation – DIV Unified Communication - Cisco Call Manager.eml</t>
        </is>
      </c>
      <c r="E22" s="35" t="inlineStr">
        <is>
          <t>DIV Manager Attestation Email_Approvals.zip</t>
        </is>
      </c>
      <c r="F22" s="35" t="inlineStr">
        <is>
          <t>Email approval</t>
        </is>
      </c>
      <c r="G22" s="35" t="inlineStr">
        <is>
          <t>09/09/2026, Elizabeth Noda</t>
        </is>
      </c>
      <c r="H22" s="35" t="inlineStr">
        <is>
          <t>"approve": Cisco Call Manager (IT). Cisco Call Manager is NOT one of the 10 tested applications, retained for completeness only.</t>
        </is>
      </c>
      <c r="I22" s="35" t="n"/>
      <c r="J22" s="35" t="inlineStr">
        <is>
          <t>Supplemental</t>
        </is>
      </c>
      <c r="K22" s="35" t="n"/>
      <c r="L22" s="31" t="n"/>
    </row>
    <row r="23" ht="23" customHeight="1" s="50">
      <c r="A23" s="46" t="inlineStr">
        <is>
          <t>E01</t>
        </is>
      </c>
      <c r="B23" s="48">
        <f>HYPERLINK(EvidenceRoot&amp;IF(LEFT(EvidenceRoot,4)="http",SUBSTITUTE("04_Data_Integrity_and_Email_Testing_Evidence\BSI.IT.6.C7.3_E01_Applications In Scope for DR Test BSI (13).xlsx","\","/"),"04_Data_Integrity_and_Email_Testing_Evidence\BSI.IT.6.C7.3_E01_Applications In Scope for DR Test BSI (13).xlsx"),"BSI.IT.6.C7.3_E01_Applications In Scope for DR Test BSI (13).xlsx")</f>
        <v/>
      </c>
      <c r="C23" s="48">
        <f>HYPERLINK(EvidenceRoot&amp;IF(LEFT(EvidenceRoot,4)="http",SUBSTITUTE("04_Data_Integrity_and_Email_Testing_Evidence","\","/"),"04_Data_Integrity_and_Email_Testing_Evidence"),"BSI.IT.6.C7.3-Evidences\04_Data_Integrity_and_Email_Testing_Evidence")</f>
        <v/>
      </c>
      <c r="D23" s="35" t="inlineStr">
        <is>
          <t>Applications In Scope for DR Test BSI (13).xlsx</t>
        </is>
      </c>
      <c r="E23" s="35" t="inlineStr">
        <is>
          <t>Data Integrity &amp; Email Testing Evidence.zip</t>
        </is>
      </c>
      <c r="F23" s="35" t="inlineStr">
        <is>
          <t>BCiC export</t>
        </is>
      </c>
      <c r="G23" s="35" t="inlineStr">
        <is>
          <t>BCiC: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50">
      <c r="A24" s="46" t="inlineStr">
        <is>
          <t>E02</t>
        </is>
      </c>
      <c r="B24" s="48">
        <f>HYPERLINK(EvidenceRoot&amp;IF(LEFT(EvidenceRoot,4)="http",SUBSTITUTE("04_Data_Integrity_and_Email_Testing_Evidence\BSI.IT.6.C7.3_E02_screenshot BCiC apps in scope for DR Testing.jpg","\","/"),"04_Data_Integrity_and_Email_Testing_Evidence\BSI.IT.6.C7.3_E02_screenshot BCiC apps in scope for DR Testing.jpg"),"BSI.IT.6.C7.3_E02_screenshot BCiC apps in scope for DR Testing.jpg")</f>
        <v/>
      </c>
      <c r="C24" s="48">
        <f>HYPERLINK(EvidenceRoot&amp;IF(LEFT(EvidenceRoot,4)="http",SUBSTITUTE("04_Data_Integrity_and_Email_Testing_Evidence","\","/"),"04_Data_Integrity_and_Email_Testing_Evidence"),"BSI.IT.6.C7.3-Evidences\04_Data_Integrity_and_Email_Testing_Evidence")</f>
        <v/>
      </c>
      <c r="D24" s="35" t="inlineStr">
        <is>
          <t>screenshot BCiC apps in scope for DR Testing.jpg</t>
        </is>
      </c>
      <c r="E24" s="35" t="inlineStr">
        <is>
          <t>Data Integrity &amp; Email Testing Evidence.zip</t>
        </is>
      </c>
      <c r="F24" s="35" t="inlineStr">
        <is>
          <t>BCiC screenshot</t>
        </is>
      </c>
      <c r="G24" s="35" t="inlineStr">
        <is>
          <t>09/10/2026, Cesar Vidal</t>
        </is>
      </c>
      <c r="H24" s="35" t="inlineStr">
        <is>
          <t>BCiC Applications screen with view 'Applications In Scope for DR Test BSI' selected (1 to 20 of 43 items).</t>
        </is>
      </c>
      <c r="I24" s="35" t="inlineStr">
        <is>
          <t>1822, 1867, 1868, 3299, 4052, 3301, 1903, 1917, 1936, 1937</t>
        </is>
      </c>
      <c r="J24" s="35" t="inlineStr">
        <is>
          <t>D, K, N</t>
        </is>
      </c>
      <c r="K24" s="35" t="n"/>
      <c r="L24" s="31" t="n"/>
    </row>
    <row r="25" ht="23" customHeight="1" s="50">
      <c r="A25" s="46" t="inlineStr">
        <is>
          <t>E03</t>
        </is>
      </c>
      <c r="B25" s="48">
        <f>HYPERLINK(EvidenceRoot&amp;IF(LEFT(EvidenceRoot,4)="http",SUBSTITUTE("04_Data_Integrity_and_Email_Testing_Evidence\BSI.IT.6.C7.3_E03_All Data Integrity Validation Testing_FV.xls","\","/"),"04_Data_Integrity_and_Email_Testing_Evidence\BSI.IT.6.C7.3_E03_All Data Integrity Validation Testing_FV.xls"),"BSI.IT.6.C7.3_E03_All Data Integrity Validation Testing_FV.xls")</f>
        <v/>
      </c>
      <c r="C25" s="48">
        <f>HYPERLINK(EvidenceRoot&amp;IF(LEFT(EvidenceRoot,4)="http",SUBSTITUTE("04_Data_Integrity_and_Email_Testing_Evidence","\","/"),"04_Data_Integrity_and_Email_Testing_Evidence"),"BSI.IT.6.C7.3-Evidences\04_Data_Integrity_and_Email_Testing_Evidence")</f>
        <v/>
      </c>
      <c r="D25" s="35" t="inlineStr">
        <is>
          <t>All Data Integrity Validation Testing_FV.xls</t>
        </is>
      </c>
      <c r="E25" s="35" t="inlineStr">
        <is>
          <t>Data Integrity &amp; Email Testing Evidence.zip</t>
        </is>
      </c>
      <c r="F25" s="35" t="inlineStr">
        <is>
          <t>BCiC export</t>
        </is>
      </c>
      <c r="G25" s="35" t="inlineStr">
        <is>
          <t>BCiC: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50">
      <c r="A26" s="46" t="inlineStr">
        <is>
          <t>E04</t>
        </is>
      </c>
      <c r="B26" s="48">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report.jpg"),"BSI.IT.6.C7.3_E04_BCiC_Screenshot for Data Integrity Validation report.jpg")</f>
        <v/>
      </c>
      <c r="C26" s="48">
        <f>HYPERLINK(EvidenceRoot&amp;IF(LEFT(EvidenceRoot,4)="http",SUBSTITUTE("04_Data_Integrity_and_Email_Testing_Evidence","\","/"),"04_Data_Integrity_and_Email_Testing_Evidence"),"BSI.IT.6.C7.3-Evidences\04_Data_Integrity_and_Email_Testing_Evidence")</f>
        <v/>
      </c>
      <c r="D26" s="35" t="inlineStr">
        <is>
          <t>BCiC_Screenshot for Data Integrity Validation report.jpg</t>
        </is>
      </c>
      <c r="E26" s="35" t="inlineStr">
        <is>
          <t>Data Integrity &amp; Email Testing Evidence.zip</t>
        </is>
      </c>
      <c r="F26" s="35" t="inlineStr">
        <is>
          <t>BCiC screenshot</t>
        </is>
      </c>
      <c r="G26" s="35" t="inlineStr">
        <is>
          <t>09/10/2026, Cesar Vidal</t>
        </is>
      </c>
      <c r="H26" s="35" t="inlineStr">
        <is>
          <t>BCiC 'Data Integrity Validation Testing' screen (1 to 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50">
      <c r="A27" s="46" t="inlineStr">
        <is>
          <t>E05</t>
        </is>
      </c>
      <c r="B27" s="48">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.msg"),"BSI.IT.6.C7.3_E05_IT BIA Results Review and preparation for DR .msg")</f>
        <v/>
      </c>
      <c r="C27" s="48">
        <f>HYPERLINK(EvidenceRoot&amp;IF(LEFT(EvidenceRoot,4)="http",SUBSTITUTE("04_Data_Integrity_and_Email_Testing_Evidence","\","/"),"04_Data_Integrity_and_Email_Testing_Evidence"),"BSI.IT.6.C7.3-Evidences\04_Data_Integrity_and_Email_Testing_Evidence")</f>
        <v/>
      </c>
      <c r="D27" s="35" t="inlineStr">
        <is>
          <t>IT BIA Results Review and preparation for DR .msg</t>
        </is>
      </c>
      <c r="E27" s="35" t="inlineStr">
        <is>
          <t>Data Integrity &amp; Email Testing Evidence.zip</t>
        </is>
      </c>
      <c r="F27" s="35" t="inlineStr">
        <is>
          <t>Meeting invite</t>
        </is>
      </c>
      <c r="G27" s="35" t="inlineStr">
        <is>
          <t>09/15/2025, Elizabeth Noda</t>
        </is>
      </c>
      <c r="H27" s="35" t="inlineStr">
        <is>
          <t>IT DR meeting invite to review the 2025 BIA results and applications list ahead of the DR exercise (same invite re-sent 09/18/2025, duplicate E06 removed).</t>
        </is>
      </c>
      <c r="I27" s="35" t="inlineStr">
        <is>
          <t>1822, 1867, 1868, 3299, 4052, 3301, 1903, 1917, 1936, 1937</t>
        </is>
      </c>
      <c r="J27" s="35" t="inlineStr">
        <is>
          <t>M, N</t>
        </is>
      </c>
      <c r="K27" s="35" t="n"/>
      <c r="L27" s="31" t="n"/>
    </row>
    <row r="28" ht="325" customHeight="1" s="50">
      <c r="A28" s="46" t="inlineStr">
        <is>
          <t>E07</t>
        </is>
      </c>
      <c r="B28" s="48">
        <f>HYPERLINK(EvidenceRoot&amp;IF(LEFT(EvidenceRoot,4)="http",SUBSTITUTE("04_Data_Integrity_and_Email_Testing_Evidence\BSI.IT.6.C7.3_E07_DATA INTERITY FILS FROM 111425.msg","\","/"),"04_Data_Integrity_and_Email_Testing_Evidence\BSI.IT.6.C7.3_E07_DATA INTERITY FILS FROM 111425.msg"),"BSI.IT.6.C7.3_E07_DATA INTERITY FILS FROM 111425.msg")</f>
        <v/>
      </c>
      <c r="C28" s="48">
        <f>HYPERLINK(EvidenceRoot&amp;IF(LEFT(EvidenceRoot,4)="http",SUBSTITUTE("04_Data_Integrity_and_Email_Testing_Evidence","\","/"),"04_Data_Integrity_and_Email_Testing_Evidence"),"BSI.IT.6.C7.3-Evidences\04_Data_Integrity_and_Email_Testing_Evidence")</f>
        <v/>
      </c>
      <c r="D28" s="35" t="inlineStr">
        <is>
          <t>DATA INTERITY FILS FROM 111425.msg</t>
        </is>
      </c>
      <c r="E28" s="35" t="inlineStr">
        <is>
          <t>Data Integrity &amp; Email Testing Evidence.zip</t>
        </is>
      </c>
      <c r="F28" s="35" t="inlineStr">
        <is>
          <t>Email + report attachments</t>
        </is>
      </c>
      <c r="G28" s="35" t="inlineStr">
        <is>
          <t>11/15/2025,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50">
      <c r="A29" s="46" t="inlineStr">
        <is>
          <t>E08</t>
        </is>
      </c>
      <c r="B29" s="48">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111425.msg"),"BSI.IT.6.C7.3_E08_FILES FROM 111525 DR TEST - DATA COMPARISON FROM 111425.msg")</f>
        <v/>
      </c>
      <c r="C29" s="48">
        <f>HYPERLINK(EvidenceRoot&amp;IF(LEFT(EvidenceRoot,4)="http",SUBSTITUTE("04_Data_Integrity_and_Email_Testing_Evidence","\","/"),"04_Data_Integrity_and_Email_Testing_Evidence"),"BSI.IT.6.C7.3-Evidences\04_Data_Integrity_and_Email_Testing_Evidence")</f>
        <v/>
      </c>
      <c r="D29" s="35" t="inlineStr">
        <is>
          <t>FILES FROM 111525 DR TEST - DATA COMPARISON FROM 111425.msg</t>
        </is>
      </c>
      <c r="E29" s="35" t="inlineStr">
        <is>
          <t>Data Integrity &amp; Email Testing Evidence.zip</t>
        </is>
      </c>
      <c r="F29" s="35" t="inlineStr">
        <is>
          <t>Email + report attachments</t>
        </is>
      </c>
      <c r="G29" s="35" t="inlineStr">
        <is>
          <t>11/15/2025,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50">
      <c r="A30" s="46" t="inlineStr">
        <is>
          <t>E09</t>
        </is>
      </c>
      <c r="B30" s="48">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FedImport,Imagi.msg"),"BSI.IT.6.C7.3_E09_RE_ Yearly Backup and restore exercise- client back office sign off-ACH,ACH Express, FedExport, FedImport,Imagi.msg")</f>
        <v/>
      </c>
      <c r="C30" s="48">
        <f>HYPERLINK(EvidenceRoot&amp;IF(LEFT(EvidenceRoot,4)="http",SUBSTITUTE("04_Data_Integrity_and_Email_Testing_Evidence","\","/"),"04_Data_Integrity_and_Email_Testing_Evidence"),"BSI.IT.6.C7.3-Evidences\04_Data_Integrity_and_Email_Testing_Evidence")</f>
        <v/>
      </c>
      <c r="D30" s="35" t="inlineStr">
        <is>
          <t>RE_ Yearly Backup and restore exercise (Client Back Office)</t>
        </is>
      </c>
      <c r="E30" s="35" t="inlineStr">
        <is>
          <t>Data Integrity &amp; Email Testing Evidence.zip</t>
        </is>
      </c>
      <c r="F30" s="35" t="inlineStr">
        <is>
          <t>Email approval</t>
        </is>
      </c>
      <c r="G30" s="35" t="inlineStr">
        <is>
          <t>03/03/2026 to 05/05/2026: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50">
      <c r="A31" s="46" t="inlineStr">
        <is>
          <t>E10</t>
        </is>
      </c>
      <c r="B31" s="48">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approval-T24-ReconXpert.msg"),"BSI.IT.6.C7.3_E10_RE_ Yearly Backup and restore exercise-- re-run- Finance approval-T24-ReconXpert.msg")</f>
        <v/>
      </c>
      <c r="C31" s="48">
        <f>HYPERLINK(EvidenceRoot&amp;IF(LEFT(EvidenceRoot,4)="http",SUBSTITUTE("04_Data_Integrity_and_Email_Testing_Evidence","\","/"),"04_Data_Integrity_and_Email_Testing_Evidence"),"BSI.IT.6.C7.3-Evidences\04_Data_Integrity_and_Email_Testing_Evidence")</f>
        <v/>
      </c>
      <c r="D31" s="35" t="inlineStr">
        <is>
          <t>RE_ Yearly Backup and restore exercise-- re-run (Finance)</t>
        </is>
      </c>
      <c r="E31" s="35" t="inlineStr">
        <is>
          <t>Data Integrity &amp; Email Testing Evidence.zip</t>
        </is>
      </c>
      <c r="F31" s="35" t="inlineStr">
        <is>
          <t>Email approval</t>
        </is>
      </c>
      <c r="G31" s="35" t="inlineStr">
        <is>
          <t>03/09/2026,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50">
      <c r="A32" s="46" t="inlineStr">
        <is>
          <t>E13</t>
        </is>
      </c>
      <c r="B32" s="48">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correctly.msg"),"BSI.IT.6.C7.3_E13_miasx2 T24 environment(s)  miaeod miabed01 refreshed correctly.msg")</f>
        <v/>
      </c>
      <c r="C32" s="48">
        <f>HYPERLINK(EvidenceRoot&amp;IF(LEFT(EvidenceRoot,4)="http",SUBSTITUTE("04_Data_Integrity_and_Email_Testing_Evidence","\","/"),"04_Data_Integrity_and_Email_Testing_Evidence"),"BSI.IT.6.C7.3-Evidences\04_Data_Integrity_and_Email_Testing_Evidence")</f>
        <v/>
      </c>
      <c r="D32" s="35" t="inlineStr">
        <is>
          <t>miasx2 T24 environment(s) miaeod miabed01 refreshed correctly.msg</t>
        </is>
      </c>
      <c r="E32" s="35" t="inlineStr">
        <is>
          <t>Data Integrity &amp; Email Testing Evidence.zip</t>
        </is>
      </c>
      <c r="F32" s="35" t="inlineStr">
        <is>
          <t>System email</t>
        </is>
      </c>
      <c r="G32" s="35" t="inlineStr">
        <is>
          <t>11/13/2024, T24 backup user</t>
        </is>
      </c>
      <c r="H32" s="35" t="inlineStr">
        <is>
          <t>T24 environment refresh log: prior period (outside review period); supplemental only.</t>
        </is>
      </c>
      <c r="I32" s="35" t="n"/>
      <c r="J32" s="35" t="inlineStr">
        <is>
          <t>Supplemental</t>
        </is>
      </c>
      <c r="K32" s="35" t="n"/>
      <c r="L32" s="31" t="n"/>
    </row>
    <row r="33" ht="62.5" customHeight="1" s="50">
      <c r="A33" s="46" t="inlineStr">
        <is>
          <t>E16b</t>
        </is>
      </c>
      <c r="B33" s="48">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2025-26.xlsx"),"BSI.IT.6.C7.3_E16b_All Data Integrity Validation Testing-BSI 2025-26.xlsx")</f>
        <v/>
      </c>
      <c r="C33" s="48">
        <f>HYPERLINK(EvidenceRoot&amp;IF(LEFT(EvidenceRoot,4)="http",SUBSTITUTE("04_Data_Integrity_and_Email_Testing_Evidence","\","/"),"04_Data_Integrity_and_Email_Testing_Evidence"),"BSI.IT.6.C7.3-Evidences\04_Data_Integrity_and_Email_Testing_Evidence")</f>
        <v/>
      </c>
      <c r="D33" s="35" t="inlineStr">
        <is>
          <t>All Data Integrity Validation Testing-BSI 2025-26.xlsx (attachment of DMA05 email)</t>
        </is>
      </c>
      <c r="E33" s="35" t="inlineStr">
        <is>
          <t>Data Integrity &amp; Email Testing Evidence.zip</t>
        </is>
      </c>
      <c r="F33" s="35" t="inlineStr">
        <is>
          <t>BCiC export</t>
        </is>
      </c>
      <c r="G33" s="35" t="inlineStr">
        <is>
          <t>08/2026: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50">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50">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50">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50">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50">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50">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50">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retained inside DMA02 (attachment)</t>
        </is>
      </c>
      <c r="F42" s="31" t="n"/>
      <c r="G42" s="31" t="n"/>
      <c r="H42" s="31" t="n"/>
      <c r="I42" s="31" t="n"/>
      <c r="J42" s="31" t="n"/>
      <c r="K42" s="31" t="n"/>
      <c r="L42" s="31" t="n"/>
    </row>
    <row r="43" ht="62.5" customHeight="1" s="50">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50">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retained inside DMA04 (attachment)</t>
        </is>
      </c>
      <c r="F44" s="31" t="n"/>
      <c r="G44" s="31" t="n"/>
      <c r="H44" s="31" t="n"/>
      <c r="I44" s="31" t="n"/>
      <c r="J44" s="31" t="n"/>
      <c r="K44" s="31" t="n"/>
      <c r="L44" s="31" t="n"/>
    </row>
    <row r="45" ht="75" customHeight="1" s="50">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50">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retained inside DMA05 (attachment)</t>
        </is>
      </c>
      <c r="F46" s="31" t="n"/>
      <c r="G46" s="31" t="n"/>
      <c r="H46" s="31" t="n"/>
      <c r="I46" s="31" t="n"/>
      <c r="J46" s="31" t="n"/>
      <c r="K46" s="31" t="n"/>
      <c r="L46" s="31" t="n"/>
    </row>
    <row r="47" ht="62.5" customHeight="1" s="50">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50">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retained inside DMA03 (attachment)</t>
        </is>
      </c>
      <c r="F48" s="31" t="n"/>
      <c r="G48" s="31" t="n"/>
      <c r="H48" s="31" t="n"/>
      <c r="I48" s="31" t="n"/>
      <c r="J48" s="31" t="n"/>
      <c r="K48" s="31" t="n"/>
      <c r="L48" s="31" t="n"/>
    </row>
    <row r="49" ht="62.5" customHeight="1" s="50">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cited as DMA01 (attachment)</t>
        </is>
      </c>
      <c r="F49" s="31" t="n"/>
      <c r="G49" s="31" t="n"/>
      <c r="H49" s="31" t="n"/>
      <c r="I49" s="31" t="n"/>
      <c r="J49" s="31" t="n"/>
      <c r="K49" s="31" t="n"/>
      <c r="L49" s="31" t="n"/>
    </row>
    <row r="50" ht="62.5" customHeight="1" s="50">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cited as DMA02 (attachment)</t>
        </is>
      </c>
      <c r="F50" s="31" t="n"/>
      <c r="G50" s="31" t="n"/>
      <c r="H50" s="31" t="n"/>
      <c r="I50" s="31" t="n"/>
      <c r="J50" s="31" t="n"/>
      <c r="K50" s="31" t="n"/>
      <c r="L50" s="31" t="n"/>
    </row>
    <row r="51" ht="62.5" customHeight="1" s="50">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cited as DMA03 (attachment)</t>
        </is>
      </c>
      <c r="F51" s="31" t="n"/>
      <c r="G51" s="31" t="n"/>
      <c r="H51" s="31" t="n"/>
      <c r="I51" s="31" t="n"/>
      <c r="J51" s="31" t="n"/>
      <c r="K51" s="31" t="n"/>
      <c r="L51" s="31" t="n"/>
    </row>
    <row r="52" ht="62.5" customHeight="1" s="50">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cited as DMA04 (attachment)</t>
        </is>
      </c>
      <c r="F52" s="31" t="n"/>
      <c r="G52" s="31" t="n"/>
      <c r="H52" s="31" t="n"/>
      <c r="I52" s="31" t="n"/>
      <c r="J52" s="31" t="n"/>
      <c r="K52" s="31" t="n"/>
      <c r="L52" s="31" t="n"/>
    </row>
    <row r="53" ht="75" customHeight="1" s="50">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cited as DMA05 (attachment)</t>
        </is>
      </c>
      <c r="F53" s="31" t="n"/>
      <c r="G53" s="31" t="n"/>
      <c r="H53" s="31" t="n"/>
      <c r="I53" s="31" t="n"/>
      <c r="J53" s="31" t="n"/>
      <c r="K53" s="31" t="n"/>
      <c r="L53" s="31" t="n"/>
    </row>
    <row r="54" ht="75" customHeight="1" s="50">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cited as DMA06 (attachment)</t>
        </is>
      </c>
      <c r="F54" s="31" t="n"/>
      <c r="G54" s="31" t="n"/>
      <c r="H54" s="31" t="n"/>
      <c r="I54" s="31" t="n"/>
      <c r="J54" s="31" t="n"/>
      <c r="K54" s="31" t="n"/>
      <c r="L54" s="31" t="n"/>
    </row>
    <row r="55" ht="62.5" customHeight="1" s="50">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cited as DMA07 (attachment)</t>
        </is>
      </c>
      <c r="F55" s="31" t="n"/>
      <c r="G55" s="31" t="n"/>
      <c r="H55" s="31" t="n"/>
      <c r="I55" s="31" t="n"/>
      <c r="J55" s="31" t="n"/>
      <c r="K55" s="31" t="n"/>
      <c r="L55" s="31" t="n"/>
    </row>
    <row r="56" ht="62.5" customHeight="1" s="50">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cited as DMA09 (attachment)</t>
        </is>
      </c>
      <c r="F56" s="31" t="n"/>
      <c r="G56" s="31" t="n"/>
      <c r="H56" s="31" t="n"/>
      <c r="I56" s="31" t="n"/>
      <c r="J56" s="31" t="n"/>
      <c r="K56" s="31" t="n"/>
      <c r="L56" s="31" t="n"/>
    </row>
    <row r="57" ht="62.5" customHeight="1" s="50">
      <c r="A57" s="35" t="inlineStr">
        <is>
          <t>E07.01 to 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cited as E07 (attachments)</t>
        </is>
      </c>
      <c r="F57" s="31" t="n"/>
      <c r="G57" s="31" t="n"/>
      <c r="H57" s="31" t="n"/>
      <c r="I57" s="31" t="n"/>
      <c r="J57" s="31" t="n"/>
      <c r="K57" s="31" t="n"/>
      <c r="L57" s="31" t="n"/>
    </row>
    <row r="58" ht="62.5" customHeight="1" s="50">
      <c r="A58" s="35" t="inlineStr">
        <is>
          <t>E08.01 to 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cited as E08 (attachments)</t>
        </is>
      </c>
      <c r="F58" s="31" t="n"/>
      <c r="G58" s="31" t="n"/>
      <c r="H58" s="31" t="n"/>
      <c r="I58" s="31" t="n"/>
      <c r="J58" s="31" t="n"/>
      <c r="K58" s="31" t="n"/>
      <c r="L58" s="31" t="n"/>
    </row>
    <row r="59" ht="62.5" customHeight="1" s="50">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98"/>
    <hyperlink ref="A4" location="'Application Attribute Testing'!A73"/>
    <hyperlink ref="A5" location="'Application Attribute Testing'!A74"/>
    <hyperlink ref="A6" location="'Application Attribute Testing'!A75"/>
    <hyperlink ref="A7" location="'Application Attribute Testing'!A76"/>
    <hyperlink ref="A8" location="'Application Attribute Testing'!A77"/>
    <hyperlink ref="A9" location="'Application Attribute Testing'!A78"/>
    <hyperlink ref="A10" location="'Application Attribute Testing'!A82"/>
    <hyperlink ref="A11" location="'Application Attribute Testing'!A83"/>
    <hyperlink ref="A12" location="'Application Attribute Testing'!A84"/>
    <hyperlink ref="A13" location="'Application Attribute Testing'!A85"/>
    <hyperlink ref="A14" location="'Application Attribute Testing'!A86"/>
    <hyperlink ref="A15" location="'Application Attribute Testing'!A87"/>
    <hyperlink ref="A16" location="'Application Attribute Testing'!A88"/>
    <hyperlink ref="A17" location="'Application Attribute Testing'!A89"/>
    <hyperlink ref="A18" location="'Application Attribute Testing'!A90"/>
    <hyperlink ref="A19" location="'Application Attribute Testing'!A91"/>
    <hyperlink ref="A20" location="'Application Attribute Testing'!A92"/>
    <hyperlink ref="A21" location="'Application Attribute Testing'!A93"/>
    <hyperlink ref="A22" location="'Application Attribute Testing'!A94"/>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50" min="2" max="2"/>
    <col width="29.1640625" customWidth="1" style="50" min="3" max="3"/>
  </cols>
  <sheetData>
    <row r="1" customFormat="1" s="65">
      <c r="A1" s="65" t="inlineStr">
        <is>
          <t>Application ID</t>
        </is>
      </c>
      <c r="B1" s="65" t="inlineStr">
        <is>
          <t>Test Name</t>
        </is>
      </c>
      <c r="C1" s="65" t="inlineStr">
        <is>
          <t>Test Date</t>
        </is>
      </c>
      <c r="D1" s="65" t="inlineStr">
        <is>
          <t>Application Test Name</t>
        </is>
      </c>
      <c r="E1" s="65" t="inlineStr">
        <is>
          <t>Application</t>
        </is>
      </c>
      <c r="F1" s="65" t="inlineStr">
        <is>
          <t>Premises</t>
        </is>
      </c>
      <c r="G1" s="65" t="inlineStr">
        <is>
          <t>Criticality Rating</t>
        </is>
      </c>
      <c r="H1" s="65" t="inlineStr">
        <is>
          <t>RTA</t>
        </is>
      </c>
      <c r="I1" s="65" t="inlineStr">
        <is>
          <t>RPA</t>
        </is>
      </c>
      <c r="J1" s="65" t="inlineStr">
        <is>
          <t>Calculated RTO</t>
        </is>
      </c>
      <c r="K1" s="65" t="inlineStr">
        <is>
          <t>Calculated RPO</t>
        </is>
      </c>
      <c r="L1" s="65" t="inlineStr">
        <is>
          <t>Application Test Results</t>
        </is>
      </c>
      <c r="M1" s="65" t="inlineStr">
        <is>
          <t>IT Owner</t>
        </is>
      </c>
      <c r="N1" s="65" t="inlineStr">
        <is>
          <t>IT Owner 2</t>
        </is>
      </c>
      <c r="O1" s="28" t="inlineStr">
        <is>
          <t>BCM App Test Results</t>
        </is>
      </c>
      <c r="P1" s="28" t="inlineStr">
        <is>
          <t>BCM App Test Validation</t>
        </is>
      </c>
      <c r="Q1" s="65" t="inlineStr">
        <is>
          <t>BCM App Test Review Date</t>
        </is>
      </c>
      <c r="R1" s="65" t="inlineStr">
        <is>
          <t>BCM App Test Validation Comments</t>
        </is>
      </c>
      <c r="S1" s="65" t="inlineStr">
        <is>
          <t>BCM App Test Validation Completed By</t>
        </is>
      </c>
      <c r="T1" s="65" t="inlineStr">
        <is>
          <t>Created At</t>
        </is>
      </c>
      <c r="U1" s="65" t="inlineStr">
        <is>
          <t>Created By</t>
        </is>
      </c>
      <c r="V1" s="65" t="inlineStr">
        <is>
          <t>Updated At</t>
        </is>
      </c>
      <c r="W1" s="65" t="inlineStr">
        <is>
          <t>Updated By</t>
        </is>
      </c>
      <c r="X1" s="65" t="inlineStr">
        <is>
          <t>Subsidiary (Permissions)</t>
        </is>
      </c>
      <c r="Y1" s="65" t="inlineStr">
        <is>
          <t>App Subsidiary</t>
        </is>
      </c>
      <c r="Z1" s="65" t="inlineStr">
        <is>
          <t>App Sub Permissions</t>
        </is>
      </c>
      <c r="AA1" s="65" t="inlineStr">
        <is>
          <t>Regulatory Flags</t>
        </is>
      </c>
    </row>
    <row r="2" customFormat="1" s="65">
      <c r="A2" s="65" t="inlineStr">
        <is>
          <t>3285</t>
        </is>
      </c>
      <c r="B2" s="65" t="inlineStr">
        <is>
          <t>2024 Full 2024 DR Test (Virginia)</t>
        </is>
      </c>
      <c r="C2" s="65" t="inlineStr">
        <is>
          <t>10/19/2024</t>
        </is>
      </c>
      <c r="D2" s="65" t="inlineStr">
        <is>
          <t>Avamar - BSI - 2024 Full 2024 DR Test (Virginia)</t>
        </is>
      </c>
      <c r="E2" s="65" t="inlineStr">
        <is>
          <t>Avamar - BSI</t>
        </is>
      </c>
      <c r="F2" s="65" t="inlineStr">
        <is>
          <t>On-Premises</t>
        </is>
      </c>
      <c r="G2" s="65" t="inlineStr">
        <is>
          <t>High</t>
        </is>
      </c>
      <c r="H2" s="65" t="inlineStr">
        <is>
          <t>30:43:30</t>
        </is>
      </c>
      <c r="J2" s="65" t="inlineStr">
        <is>
          <t>0 - 8 hours</t>
        </is>
      </c>
      <c r="K2" s="65" t="inlineStr">
        <is>
          <t>4 - 8 hours</t>
        </is>
      </c>
      <c r="L2" s="65" t="inlineStr">
        <is>
          <t>Successful</t>
        </is>
      </c>
      <c r="M2" s="65" t="inlineStr">
        <is>
          <t>Jose Manuel Oliveros</t>
        </is>
      </c>
      <c r="N2" s="65" t="inlineStr">
        <is>
          <t>Ian Rojo</t>
        </is>
      </c>
      <c r="O2" s="65" t="inlineStr">
        <is>
          <t>Successful</t>
        </is>
      </c>
      <c r="P2" s="65" t="inlineStr">
        <is>
          <t>Validated</t>
        </is>
      </c>
      <c r="Q2" s="65" t="inlineStr">
        <is>
          <t>10/22/2024</t>
        </is>
      </c>
      <c r="S2" s="65" t="inlineStr">
        <is>
          <t>Cesar Vidal</t>
        </is>
      </c>
      <c r="T2" s="65" t="inlineStr">
        <is>
          <t>11/07/2024, 5:35 PM</t>
        </is>
      </c>
      <c r="U2" s="65" t="inlineStr">
        <is>
          <t>Cesar Vidal</t>
        </is>
      </c>
      <c r="V2" s="65" t="inlineStr">
        <is>
          <t>11/07/2024, 5:37 PM</t>
        </is>
      </c>
      <c r="W2" s="65" t="inlineStr">
        <is>
          <t>Cesar Vidal</t>
        </is>
      </c>
      <c r="X2" s="65" t="inlineStr">
        <is>
          <t>Banco Santander International</t>
        </is>
      </c>
      <c r="Y2" s="65" t="inlineStr">
        <is>
          <t>Banco Santander International</t>
        </is>
      </c>
      <c r="Z2" s="65" t="inlineStr">
        <is>
          <t>Banco Santander International</t>
        </is>
      </c>
    </row>
    <row r="3" customFormat="1" s="65">
      <c r="A3" s="65" t="inlineStr">
        <is>
          <t>3346</t>
        </is>
      </c>
      <c r="B3" s="65" t="inlineStr">
        <is>
          <t>2024 Full 2024 DR Test (Virginia)</t>
        </is>
      </c>
      <c r="C3" s="65" t="inlineStr">
        <is>
          <t>10/19/2024</t>
        </is>
      </c>
      <c r="D3" s="65" t="inlineStr">
        <is>
          <t>Zerto - BSI - 2024 Full 2024 DR Test (Virginia)</t>
        </is>
      </c>
      <c r="E3" s="65" t="inlineStr">
        <is>
          <t>Zerto - BSI</t>
        </is>
      </c>
      <c r="F3" s="65" t="inlineStr">
        <is>
          <t>On-Premises</t>
        </is>
      </c>
      <c r="G3" s="65" t="inlineStr">
        <is>
          <t>High</t>
        </is>
      </c>
      <c r="H3" s="65" t="inlineStr">
        <is>
          <t>02:13:00</t>
        </is>
      </c>
      <c r="J3" s="65" t="inlineStr">
        <is>
          <t>0 - 8 hours</t>
        </is>
      </c>
      <c r="K3" s="65" t="inlineStr">
        <is>
          <t>4 - 8 hours</t>
        </is>
      </c>
      <c r="L3" s="65" t="inlineStr">
        <is>
          <t>Successful</t>
        </is>
      </c>
      <c r="M3" s="65" t="inlineStr">
        <is>
          <t>Jose Manuel Oliveros</t>
        </is>
      </c>
      <c r="N3" s="65" t="inlineStr">
        <is>
          <t>Ian Rojo</t>
        </is>
      </c>
      <c r="O3" s="65" t="inlineStr">
        <is>
          <t>Successful</t>
        </is>
      </c>
      <c r="P3" s="65" t="inlineStr">
        <is>
          <t>Validated</t>
        </is>
      </c>
      <c r="Q3" s="65" t="inlineStr">
        <is>
          <t>10/22/2024</t>
        </is>
      </c>
      <c r="S3" s="65" t="inlineStr">
        <is>
          <t>Cesar Vidal</t>
        </is>
      </c>
      <c r="T3" s="65" t="inlineStr">
        <is>
          <t>11/07/2024, 5:24 PM</t>
        </is>
      </c>
      <c r="U3" s="65" t="inlineStr">
        <is>
          <t>Cesar Vidal</t>
        </is>
      </c>
      <c r="V3" s="65" t="inlineStr">
        <is>
          <t>11/07/2024, 5:25 PM</t>
        </is>
      </c>
      <c r="W3" s="65" t="inlineStr">
        <is>
          <t>Cesar Vidal</t>
        </is>
      </c>
      <c r="X3" s="65" t="inlineStr">
        <is>
          <t>Banco Santander International</t>
        </is>
      </c>
      <c r="Y3" s="65" t="inlineStr">
        <is>
          <t>Banco Santander International</t>
        </is>
      </c>
      <c r="Z3" s="65" t="inlineStr">
        <is>
          <t>Banco Santander International</t>
        </is>
      </c>
    </row>
    <row r="4" customFormat="1" s="65">
      <c r="A4" s="65" t="inlineStr">
        <is>
          <t>3311</t>
        </is>
      </c>
      <c r="B4" s="65" t="inlineStr">
        <is>
          <t>2024 Full 2024 DR Test (Virginia)</t>
        </is>
      </c>
      <c r="C4" s="65" t="inlineStr">
        <is>
          <t>10/19/2024</t>
        </is>
      </c>
      <c r="D4" s="65" t="inlineStr">
        <is>
          <t>ServiceNow - BSI - 2024 Full 2024 DR Test (Virginia)</t>
        </is>
      </c>
      <c r="E4" s="65" t="inlineStr">
        <is>
          <t>zzz_Retired: ServiceNow - BSI</t>
        </is>
      </c>
      <c r="F4" s="65" t="inlineStr">
        <is>
          <t>Off-Premises</t>
        </is>
      </c>
      <c r="G4" s="65" t="inlineStr">
        <is>
          <t>No Dependency</t>
        </is>
      </c>
      <c r="H4" s="65" t="inlineStr">
        <is>
          <t>02:57:00</t>
        </is>
      </c>
      <c r="L4" s="65" t="inlineStr">
        <is>
          <t>Successful</t>
        </is>
      </c>
      <c r="M4" s="65" t="inlineStr">
        <is>
          <t>Jose Manuel Oliveros</t>
        </is>
      </c>
      <c r="N4" s="65" t="inlineStr">
        <is>
          <t>Cesar Rubio</t>
        </is>
      </c>
      <c r="O4" s="65" t="inlineStr">
        <is>
          <t>Successful</t>
        </is>
      </c>
      <c r="P4" s="65" t="inlineStr">
        <is>
          <t>Validated</t>
        </is>
      </c>
      <c r="Q4" s="65" t="inlineStr">
        <is>
          <t>10/22/2024</t>
        </is>
      </c>
      <c r="S4" s="65" t="inlineStr">
        <is>
          <t>Cesar Vidal</t>
        </is>
      </c>
      <c r="T4" s="65" t="inlineStr">
        <is>
          <t>11/07/2024, 5:14 PM</t>
        </is>
      </c>
      <c r="U4" s="65" t="inlineStr">
        <is>
          <t>Cesar Vidal</t>
        </is>
      </c>
      <c r="V4" s="65" t="inlineStr">
        <is>
          <t>11/07/2024, 5:15 PM</t>
        </is>
      </c>
      <c r="W4" s="65" t="inlineStr">
        <is>
          <t>Cesar Vidal</t>
        </is>
      </c>
      <c r="X4" s="65" t="inlineStr">
        <is>
          <t>Banco Santander International</t>
        </is>
      </c>
      <c r="Y4" s="65" t="inlineStr">
        <is>
          <t>Retired Subsidiary</t>
        </is>
      </c>
      <c r="Z4" s="65" t="inlineStr">
        <is>
          <t>Banco Santander International</t>
        </is>
      </c>
    </row>
    <row r="5" customFormat="1" s="65">
      <c r="A5" s="65" t="inlineStr">
        <is>
          <t>1834</t>
        </is>
      </c>
      <c r="B5" s="65" t="inlineStr">
        <is>
          <t>2024 Full 2024 DR Test (Virginia)</t>
        </is>
      </c>
      <c r="C5" s="65" t="inlineStr">
        <is>
          <t>10/19/2024</t>
        </is>
      </c>
      <c r="D5" s="65" t="inlineStr">
        <is>
          <t>BLOOMBERG - BSI - 2024 Full 2024 DR Test (Virginia)</t>
        </is>
      </c>
      <c r="E5" s="65" t="inlineStr">
        <is>
          <t>BLOOMBERG - BSI</t>
        </is>
      </c>
      <c r="F5" s="65" t="inlineStr">
        <is>
          <t>Off-Premises</t>
        </is>
      </c>
      <c r="G5" s="65" t="inlineStr">
        <is>
          <t>High</t>
        </is>
      </c>
      <c r="H5" s="65" t="inlineStr">
        <is>
          <t>06:00:00</t>
        </is>
      </c>
      <c r="J5" s="65" t="inlineStr">
        <is>
          <t>0 - 8 hours</t>
        </is>
      </c>
      <c r="K5" s="65" t="inlineStr">
        <is>
          <t>4 - 8 hours</t>
        </is>
      </c>
      <c r="L5" s="65" t="inlineStr">
        <is>
          <t>Successful</t>
        </is>
      </c>
      <c r="M5" s="65" t="inlineStr">
        <is>
          <t>Jose Manuel Oliveros</t>
        </is>
      </c>
      <c r="N5" s="65" t="inlineStr">
        <is>
          <t>Cesar Rubio</t>
        </is>
      </c>
      <c r="O5" s="65" t="inlineStr">
        <is>
          <t>Successful</t>
        </is>
      </c>
      <c r="P5" s="65" t="inlineStr">
        <is>
          <t>Validated</t>
        </is>
      </c>
      <c r="Q5" s="65" t="inlineStr">
        <is>
          <t>10/22/2024</t>
        </is>
      </c>
      <c r="S5" s="65" t="inlineStr">
        <is>
          <t>Jorge Fraga</t>
        </is>
      </c>
      <c r="T5" s="65" t="inlineStr">
        <is>
          <t>06/24/2025, 12:46 PM</t>
        </is>
      </c>
      <c r="U5" s="65" t="inlineStr">
        <is>
          <t>Cesar Vidal</t>
        </is>
      </c>
      <c r="V5" s="65" t="inlineStr">
        <is>
          <t>06/24/2025, 12:48 PM</t>
        </is>
      </c>
      <c r="W5" s="65" t="inlineStr">
        <is>
          <t>Cesar Vidal</t>
        </is>
      </c>
      <c r="X5" s="65" t="inlineStr">
        <is>
          <t>Banco Santander International</t>
        </is>
      </c>
      <c r="Y5" s="65" t="inlineStr">
        <is>
          <t>Banco Santander International</t>
        </is>
      </c>
      <c r="Z5" s="65" t="inlineStr">
        <is>
          <t>Banco Santander International</t>
        </is>
      </c>
    </row>
    <row r="6" customFormat="1" s="65">
      <c r="A6" s="65" t="inlineStr">
        <is>
          <t>1868</t>
        </is>
      </c>
      <c r="B6" s="65" t="inlineStr">
        <is>
          <t>2024 Full 2024 DR Test (Virginia)</t>
        </is>
      </c>
      <c r="C6" s="65" t="inlineStr">
        <is>
          <t>10/19/2024</t>
        </is>
      </c>
      <c r="D6" s="65" t="inlineStr">
        <is>
          <t>FedImport - BSI - 2024 Full 2024 DR Test (Virginia)</t>
        </is>
      </c>
      <c r="E6" s="65" t="inlineStr">
        <is>
          <t>FedImport - BSI</t>
        </is>
      </c>
      <c r="F6" s="65" t="inlineStr">
        <is>
          <t>On-Premises</t>
        </is>
      </c>
      <c r="G6" s="65" t="inlineStr">
        <is>
          <t>High</t>
        </is>
      </c>
      <c r="H6" s="65" t="inlineStr">
        <is>
          <t>03:36:00</t>
        </is>
      </c>
      <c r="J6" s="65" t="inlineStr">
        <is>
          <t>0 - 8 hours</t>
        </is>
      </c>
      <c r="K6" s="65" t="inlineStr">
        <is>
          <t>4 - 8 hours</t>
        </is>
      </c>
      <c r="L6" s="65" t="inlineStr">
        <is>
          <t>Successful</t>
        </is>
      </c>
      <c r="M6" s="65" t="inlineStr">
        <is>
          <t>Jose Manuel Oliveros</t>
        </is>
      </c>
      <c r="N6" s="65" t="inlineStr">
        <is>
          <t>Cesar Rubio</t>
        </is>
      </c>
      <c r="O6" s="65" t="inlineStr">
        <is>
          <t>Successful</t>
        </is>
      </c>
      <c r="P6" s="65" t="inlineStr">
        <is>
          <t>Validated</t>
        </is>
      </c>
      <c r="Q6" s="65" t="inlineStr">
        <is>
          <t>10/22/2024</t>
        </is>
      </c>
      <c r="S6" s="65" t="inlineStr">
        <is>
          <t>Cesar Vidal</t>
        </is>
      </c>
      <c r="T6" s="65" t="inlineStr">
        <is>
          <t>11/07/2024, 4:23 PM</t>
        </is>
      </c>
      <c r="U6" s="65" t="inlineStr">
        <is>
          <t>Cesar Vidal</t>
        </is>
      </c>
      <c r="V6" s="65" t="inlineStr">
        <is>
          <t>11/07/2024, 4:24 PM</t>
        </is>
      </c>
      <c r="W6" s="65" t="inlineStr">
        <is>
          <t>Cesar Vidal</t>
        </is>
      </c>
      <c r="X6" s="65" t="inlineStr">
        <is>
          <t>Banco Santander International</t>
        </is>
      </c>
      <c r="Y6" s="65" t="inlineStr">
        <is>
          <t>Banco Santander International</t>
        </is>
      </c>
      <c r="Z6" s="65" t="inlineStr">
        <is>
          <t>Banco Santander International</t>
        </is>
      </c>
      <c r="AA6" s="65" t="inlineStr">
        <is>
          <t>GLBA</t>
        </is>
      </c>
    </row>
    <row r="7" customFormat="1" s="65">
      <c r="A7" s="65" t="inlineStr">
        <is>
          <t>1867</t>
        </is>
      </c>
      <c r="B7" s="65" t="inlineStr">
        <is>
          <t>2024 Full 2024 DR Test (Virginia)</t>
        </is>
      </c>
      <c r="C7" s="65" t="inlineStr">
        <is>
          <t>10/19/2024</t>
        </is>
      </c>
      <c r="D7" s="65" t="inlineStr">
        <is>
          <t>FedExport - BSI - 2024 Full 2024 DR Test (Virginia)</t>
        </is>
      </c>
      <c r="E7" s="65" t="inlineStr">
        <is>
          <t>FedExport - BSI</t>
        </is>
      </c>
      <c r="F7" s="65" t="inlineStr">
        <is>
          <t>On-Premises</t>
        </is>
      </c>
      <c r="G7" s="65" t="inlineStr">
        <is>
          <t>High</t>
        </is>
      </c>
      <c r="H7" s="65" t="inlineStr">
        <is>
          <t>03:36:00</t>
        </is>
      </c>
      <c r="J7" s="65" t="inlineStr">
        <is>
          <t>0 - 8 hours</t>
        </is>
      </c>
      <c r="K7" s="65" t="inlineStr">
        <is>
          <t>4 - 8 hours</t>
        </is>
      </c>
      <c r="L7" s="65" t="inlineStr">
        <is>
          <t>Successful</t>
        </is>
      </c>
      <c r="M7" s="65" t="inlineStr">
        <is>
          <t>Jose Manuel Oliveros</t>
        </is>
      </c>
      <c r="N7" s="65" t="inlineStr">
        <is>
          <t>Cesar Rubio</t>
        </is>
      </c>
      <c r="O7" s="65" t="inlineStr">
        <is>
          <t>Successful</t>
        </is>
      </c>
      <c r="P7" s="65" t="inlineStr">
        <is>
          <t>Validated</t>
        </is>
      </c>
      <c r="Q7" s="65" t="inlineStr">
        <is>
          <t>10/22/2024</t>
        </is>
      </c>
      <c r="S7" s="65" t="inlineStr">
        <is>
          <t>Cesar Vidal</t>
        </is>
      </c>
      <c r="T7" s="65" t="inlineStr">
        <is>
          <t>11/07/2024, 4:22 PM</t>
        </is>
      </c>
      <c r="U7" s="65" t="inlineStr">
        <is>
          <t>Cesar Vidal</t>
        </is>
      </c>
      <c r="V7" s="65" t="inlineStr">
        <is>
          <t>11/07/2024, 4:23 PM</t>
        </is>
      </c>
      <c r="W7" s="65" t="inlineStr">
        <is>
          <t>Cesar Vidal</t>
        </is>
      </c>
      <c r="X7" s="65" t="inlineStr">
        <is>
          <t>Banco Santander International</t>
        </is>
      </c>
      <c r="Y7" s="65" t="inlineStr">
        <is>
          <t>Banco Santander International</t>
        </is>
      </c>
      <c r="Z7" s="65" t="inlineStr">
        <is>
          <t>Banco Santander International</t>
        </is>
      </c>
      <c r="AA7" s="65" t="inlineStr">
        <is>
          <t>GLBA</t>
        </is>
      </c>
    </row>
    <row r="8" customFormat="1" s="65">
      <c r="A8" s="65" t="inlineStr">
        <is>
          <t>3572</t>
        </is>
      </c>
      <c r="B8" s="65" t="inlineStr">
        <is>
          <t>2024 Full 2024 DR Test (Virginia)</t>
        </is>
      </c>
      <c r="C8" s="65" t="inlineStr">
        <is>
          <t>10/19/2024</t>
        </is>
      </c>
      <c r="D8" s="65" t="inlineStr">
        <is>
          <t>Cyberark - BSI - 2024 Full 2024 DR Test (Virginia)</t>
        </is>
      </c>
      <c r="E8" s="65" t="inlineStr">
        <is>
          <t>Cyberark - BSI</t>
        </is>
      </c>
      <c r="F8" s="65" t="inlineStr">
        <is>
          <t>On-Premises</t>
        </is>
      </c>
      <c r="G8" s="65" t="inlineStr">
        <is>
          <t>High</t>
        </is>
      </c>
      <c r="H8" s="65" t="inlineStr">
        <is>
          <t>02:13:00</t>
        </is>
      </c>
      <c r="J8" s="65" t="inlineStr">
        <is>
          <t>0 - 8 hours</t>
        </is>
      </c>
      <c r="K8" s="65" t="inlineStr">
        <is>
          <t>0 - 4 hours</t>
        </is>
      </c>
      <c r="L8" s="65" t="inlineStr">
        <is>
          <t>Successful</t>
        </is>
      </c>
      <c r="M8" s="65" t="inlineStr">
        <is>
          <t>Jose Manuel Oliveros</t>
        </is>
      </c>
      <c r="N8" s="65" t="inlineStr">
        <is>
          <t>Dayam Borges</t>
        </is>
      </c>
      <c r="O8" s="65" t="inlineStr">
        <is>
          <t>Successful</t>
        </is>
      </c>
      <c r="P8" s="65" t="inlineStr">
        <is>
          <t>Validated</t>
        </is>
      </c>
      <c r="Q8" s="65" t="inlineStr">
        <is>
          <t>10/22/2024</t>
        </is>
      </c>
      <c r="S8" s="65" t="inlineStr">
        <is>
          <t>Cesar Vidal</t>
        </is>
      </c>
      <c r="T8" s="65" t="inlineStr">
        <is>
          <t>11/07/2024, 4:18 PM</t>
        </is>
      </c>
      <c r="U8" s="65" t="inlineStr">
        <is>
          <t>Cesar Vidal</t>
        </is>
      </c>
      <c r="V8" s="65" t="inlineStr">
        <is>
          <t>11/07/2024, 4:19 PM</t>
        </is>
      </c>
      <c r="W8" s="65" t="inlineStr">
        <is>
          <t>Cesar Vidal</t>
        </is>
      </c>
      <c r="X8" s="65" t="inlineStr">
        <is>
          <t>Banco Santander International</t>
        </is>
      </c>
      <c r="Y8" s="65" t="inlineStr">
        <is>
          <t>Banco Santander International</t>
        </is>
      </c>
      <c r="Z8" s="65" t="inlineStr">
        <is>
          <t>Banco Santander International</t>
        </is>
      </c>
    </row>
    <row r="9" customFormat="1" s="65">
      <c r="A9" s="65" t="inlineStr">
        <is>
          <t>1892</t>
        </is>
      </c>
      <c r="B9" s="65" t="inlineStr">
        <is>
          <t>2024 DR TP - Market Axess Business Continuity Test Summary</t>
        </is>
      </c>
      <c r="C9" s="65" t="inlineStr">
        <is>
          <t>10/04/2024</t>
        </is>
      </c>
      <c r="D9" s="65" t="inlineStr">
        <is>
          <t>Market Axess - BSI - 2024 DR TP - Market Axess Business Continuity Test Summary</t>
        </is>
      </c>
      <c r="E9" s="65" t="inlineStr">
        <is>
          <t>Market Axess - BSI</t>
        </is>
      </c>
      <c r="F9" s="65" t="inlineStr">
        <is>
          <t>Off-Premises</t>
        </is>
      </c>
      <c r="G9" s="65" t="inlineStr">
        <is>
          <t>High</t>
        </is>
      </c>
      <c r="H9" s="65" t="inlineStr">
        <is>
          <t>02:00:00</t>
        </is>
      </c>
      <c r="J9" s="65" t="inlineStr">
        <is>
          <t>0 - 8 hours</t>
        </is>
      </c>
      <c r="K9" s="65" t="inlineStr">
        <is>
          <t>4 - 8 hours</t>
        </is>
      </c>
      <c r="L9" s="65" t="inlineStr">
        <is>
          <t>Successful</t>
        </is>
      </c>
      <c r="M9" s="65" t="inlineStr">
        <is>
          <t>Jose Manuel Oliveros</t>
        </is>
      </c>
      <c r="N9" s="65" t="inlineStr">
        <is>
          <t>Cesar Rubio</t>
        </is>
      </c>
      <c r="O9" s="65" t="inlineStr">
        <is>
          <t>Successful</t>
        </is>
      </c>
      <c r="P9" s="65" t="inlineStr">
        <is>
          <t>Validated</t>
        </is>
      </c>
      <c r="Q9" s="65" t="inlineStr">
        <is>
          <t>02/21/2025</t>
        </is>
      </c>
      <c r="S9" s="65" t="inlineStr">
        <is>
          <t>Elizabeth Noda</t>
        </is>
      </c>
      <c r="T9" s="65" t="inlineStr">
        <is>
          <t>09/12/2025, 4:27 PM</t>
        </is>
      </c>
      <c r="U9" s="65" t="inlineStr">
        <is>
          <t>Cesar Vidal</t>
        </is>
      </c>
      <c r="V9" s="65" t="inlineStr">
        <is>
          <t>09/12/2025, 4:29 PM</t>
        </is>
      </c>
      <c r="W9" s="65" t="inlineStr">
        <is>
          <t>Cesar Vidal</t>
        </is>
      </c>
      <c r="X9" s="65" t="inlineStr">
        <is>
          <t>Banco Santander International</t>
        </is>
      </c>
      <c r="Y9" s="65" t="inlineStr">
        <is>
          <t>Banco Santander International</t>
        </is>
      </c>
      <c r="Z9" s="65" t="inlineStr">
        <is>
          <t>Banco Santander International</t>
        </is>
      </c>
    </row>
    <row r="10" customFormat="1" s="65">
      <c r="A10" s="65" t="inlineStr">
        <is>
          <t>1856</t>
        </is>
      </c>
      <c r="B10" s="65" t="inlineStr">
        <is>
          <t>2024-TP-DTCC</t>
        </is>
      </c>
      <c r="C10" s="65" t="inlineStr">
        <is>
          <t>11/09/2024</t>
        </is>
      </c>
      <c r="D10" s="65" t="inlineStr">
        <is>
          <t>DTCC - BSI - 2024 - TP- DTCC</t>
        </is>
      </c>
      <c r="E10" s="65" t="inlineStr">
        <is>
          <t>DTCC - BSI</t>
        </is>
      </c>
      <c r="F10" s="65" t="inlineStr">
        <is>
          <t>Off-Premises</t>
        </is>
      </c>
      <c r="G10" s="65" t="inlineStr">
        <is>
          <t>High</t>
        </is>
      </c>
      <c r="H10" s="65" t="inlineStr">
        <is>
          <t>02:54:00</t>
        </is>
      </c>
      <c r="J10" s="65" t="inlineStr">
        <is>
          <t>0 - 8 hours</t>
        </is>
      </c>
      <c r="K10" s="65" t="inlineStr">
        <is>
          <t>8 - 24 hours</t>
        </is>
      </c>
      <c r="L10" s="65" t="inlineStr">
        <is>
          <t>Successful</t>
        </is>
      </c>
      <c r="M10" s="65" t="inlineStr">
        <is>
          <t>Jose Manuel Oliveros</t>
        </is>
      </c>
      <c r="N10" s="65" t="inlineStr">
        <is>
          <t>Cesar Rubio</t>
        </is>
      </c>
      <c r="O10" s="65" t="inlineStr">
        <is>
          <t>Successful</t>
        </is>
      </c>
      <c r="P10" s="65" t="inlineStr">
        <is>
          <t>Validated</t>
        </is>
      </c>
      <c r="Q10" s="65" t="inlineStr">
        <is>
          <t>02/28/2025</t>
        </is>
      </c>
      <c r="S10" s="65" t="inlineStr">
        <is>
          <t>Jorge Fraga</t>
        </is>
      </c>
      <c r="T10" s="65" t="inlineStr">
        <is>
          <t>08/18/2025, 4:22 PM</t>
        </is>
      </c>
      <c r="U10" s="65" t="inlineStr">
        <is>
          <t>Cesar Vidal</t>
        </is>
      </c>
      <c r="V10" s="65" t="inlineStr">
        <is>
          <t>08/18/2025, 4:33 PM</t>
        </is>
      </c>
      <c r="W10" s="65" t="inlineStr">
        <is>
          <t>Cesar Vidal</t>
        </is>
      </c>
      <c r="X10" s="65" t="inlineStr">
        <is>
          <t>Banco Santander International</t>
        </is>
      </c>
      <c r="Y10" s="65" t="inlineStr">
        <is>
          <t>Banco Santander International</t>
        </is>
      </c>
      <c r="Z10" s="65" t="inlineStr">
        <is>
          <t>Banco Santander International</t>
        </is>
      </c>
    </row>
    <row r="11" customFormat="1" s="65">
      <c r="A11" s="65" t="inlineStr">
        <is>
          <t>1936</t>
        </is>
      </c>
      <c r="B11" s="65" t="inlineStr">
        <is>
          <t>2024 Full 2024 DR Test (Virginia)</t>
        </is>
      </c>
      <c r="C11" s="65" t="inlineStr">
        <is>
          <t>10/19/2024</t>
        </is>
      </c>
      <c r="D11" s="65" t="inlineStr">
        <is>
          <t>Swift Interface - BSI - 2024 Full 2024 DR Test (Virginia)</t>
        </is>
      </c>
      <c r="E11" s="65" t="inlineStr">
        <is>
          <t>Swift Interface - BSI</t>
        </is>
      </c>
      <c r="F11" s="65" t="inlineStr">
        <is>
          <t>On-Premises</t>
        </is>
      </c>
      <c r="G11" s="65" t="inlineStr">
        <is>
          <t>High</t>
        </is>
      </c>
      <c r="H11" s="65" t="inlineStr">
        <is>
          <t>03:52:00</t>
        </is>
      </c>
      <c r="J11" s="65" t="inlineStr">
        <is>
          <t>0 - 8 hours</t>
        </is>
      </c>
      <c r="K11" s="65" t="inlineStr">
        <is>
          <t>4 - 8 hours</t>
        </is>
      </c>
      <c r="L11" s="65" t="inlineStr">
        <is>
          <t>Successful</t>
        </is>
      </c>
      <c r="M11" s="65" t="inlineStr">
        <is>
          <t>Jose Manuel Oliveros</t>
        </is>
      </c>
      <c r="N11" s="65" t="inlineStr">
        <is>
          <t>Cesar Rubio</t>
        </is>
      </c>
      <c r="O11" s="65" t="inlineStr">
        <is>
          <t>Successful</t>
        </is>
      </c>
      <c r="P11" s="65" t="inlineStr">
        <is>
          <t>Validated</t>
        </is>
      </c>
      <c r="Q11" s="65" t="inlineStr">
        <is>
          <t>10/22/2024</t>
        </is>
      </c>
      <c r="S11" s="65" t="inlineStr">
        <is>
          <t>Jorge Fraga</t>
        </is>
      </c>
      <c r="T11" s="65" t="inlineStr">
        <is>
          <t>06/27/2025, 4:55 PM</t>
        </is>
      </c>
      <c r="U11" s="65" t="inlineStr">
        <is>
          <t>Cesar Vidal</t>
        </is>
      </c>
      <c r="V11" s="65" t="inlineStr">
        <is>
          <t>06/27/2025, 4:56 PM</t>
        </is>
      </c>
      <c r="W11" s="65" t="inlineStr">
        <is>
          <t>Cesar Vidal</t>
        </is>
      </c>
      <c r="X11" s="65" t="inlineStr">
        <is>
          <t>Banco Santander International</t>
        </is>
      </c>
      <c r="Y11" s="65" t="inlineStr">
        <is>
          <t>Banco Santander International</t>
        </is>
      </c>
      <c r="Z11" s="65" t="inlineStr">
        <is>
          <t>Banco Santander International</t>
        </is>
      </c>
    </row>
    <row r="12" customFormat="1" s="65">
      <c r="A12" s="65" t="inlineStr">
        <is>
          <t>1892</t>
        </is>
      </c>
      <c r="B12" s="65" t="inlineStr">
        <is>
          <t>2024 Full 2024 DR Test (Virginia)</t>
        </is>
      </c>
      <c r="C12" s="65" t="inlineStr">
        <is>
          <t>10/19/2024</t>
        </is>
      </c>
      <c r="D12" s="65" t="inlineStr">
        <is>
          <t>Market Axess - BSI - 2024 Full 2024 DR Test (Virginia)</t>
        </is>
      </c>
      <c r="E12" s="65" t="inlineStr">
        <is>
          <t>Market Axess - BSI</t>
        </is>
      </c>
      <c r="F12" s="65" t="inlineStr">
        <is>
          <t>Off-Premises</t>
        </is>
      </c>
      <c r="G12" s="65" t="inlineStr">
        <is>
          <t>High</t>
        </is>
      </c>
      <c r="H12" s="65" t="inlineStr">
        <is>
          <t>03:00:00</t>
        </is>
      </c>
      <c r="J12" s="65" t="inlineStr">
        <is>
          <t>0 - 8 hours</t>
        </is>
      </c>
      <c r="K12" s="65" t="inlineStr">
        <is>
          <t>4 - 8 hours</t>
        </is>
      </c>
      <c r="L12" s="65" t="inlineStr">
        <is>
          <t>Successful</t>
        </is>
      </c>
      <c r="M12" s="65" t="inlineStr">
        <is>
          <t>Jose Manuel Oliveros</t>
        </is>
      </c>
      <c r="N12" s="65" t="inlineStr">
        <is>
          <t>Cesar Rubio</t>
        </is>
      </c>
      <c r="O12" s="65" t="inlineStr">
        <is>
          <t>Successful</t>
        </is>
      </c>
      <c r="P12" s="65" t="inlineStr">
        <is>
          <t>Validated</t>
        </is>
      </c>
      <c r="Q12" s="65" t="inlineStr">
        <is>
          <t>10/22/2024</t>
        </is>
      </c>
      <c r="S12" s="65" t="inlineStr">
        <is>
          <t>Jorge Fraga</t>
        </is>
      </c>
      <c r="T12" s="65" t="inlineStr">
        <is>
          <t>06/27/2025, 4:54 PM</t>
        </is>
      </c>
      <c r="U12" s="65" t="inlineStr">
        <is>
          <t>Cesar Vidal</t>
        </is>
      </c>
      <c r="V12" s="65" t="inlineStr">
        <is>
          <t>06/27/2025, 4:54 PM</t>
        </is>
      </c>
      <c r="W12" s="65" t="inlineStr">
        <is>
          <t>Cesar Vidal</t>
        </is>
      </c>
      <c r="X12" s="65" t="inlineStr">
        <is>
          <t>Banco Santander International</t>
        </is>
      </c>
      <c r="Y12" s="65" t="inlineStr">
        <is>
          <t>Banco Santander International</t>
        </is>
      </c>
      <c r="Z12" s="65" t="inlineStr">
        <is>
          <t>Banco Santander International</t>
        </is>
      </c>
    </row>
    <row r="13" customFormat="1" s="65">
      <c r="A13" s="65" t="inlineStr">
        <is>
          <t>1870</t>
        </is>
      </c>
      <c r="B13" s="65" t="inlineStr">
        <is>
          <t>2024 Full 2024 DR Test (Virginia)</t>
        </is>
      </c>
      <c r="C13" s="65" t="inlineStr">
        <is>
          <t>10/19/2024</t>
        </is>
      </c>
      <c r="D13" s="65" t="inlineStr">
        <is>
          <t>Fedline Web - BSI - 2024 Full 2024 DR Test (Virginia)</t>
        </is>
      </c>
      <c r="E13" s="65" t="inlineStr">
        <is>
          <t>Fedline Web - BSI</t>
        </is>
      </c>
      <c r="F13" s="65" t="inlineStr">
        <is>
          <t>Off-Premises</t>
        </is>
      </c>
      <c r="G13" s="65" t="inlineStr">
        <is>
          <t>High</t>
        </is>
      </c>
      <c r="H13" s="65" t="inlineStr">
        <is>
          <t>02:22:00</t>
        </is>
      </c>
      <c r="J13" s="65" t="inlineStr">
        <is>
          <t>0 - 8 hours</t>
        </is>
      </c>
      <c r="K13" s="65" t="inlineStr">
        <is>
          <t>8 - 24 hours</t>
        </is>
      </c>
      <c r="L13" s="65" t="inlineStr">
        <is>
          <t>Successful</t>
        </is>
      </c>
      <c r="M13" s="65" t="inlineStr">
        <is>
          <t>Jose Manuel Oliveros</t>
        </is>
      </c>
      <c r="N13" s="65" t="inlineStr">
        <is>
          <t>Cesar Rubio</t>
        </is>
      </c>
      <c r="O13" s="65" t="inlineStr">
        <is>
          <t>Successful</t>
        </is>
      </c>
      <c r="P13" s="65" t="inlineStr">
        <is>
          <t>Validated</t>
        </is>
      </c>
      <c r="Q13" s="65" t="inlineStr">
        <is>
          <t>10/22/2024</t>
        </is>
      </c>
      <c r="S13" s="65" t="inlineStr">
        <is>
          <t>Jorge Fraga</t>
        </is>
      </c>
      <c r="T13" s="65" t="inlineStr">
        <is>
          <t>06/27/2025, 4:51 PM</t>
        </is>
      </c>
      <c r="U13" s="65" t="inlineStr">
        <is>
          <t>Cesar Vidal</t>
        </is>
      </c>
      <c r="V13" s="65" t="inlineStr">
        <is>
          <t>06/27/2025, 4:53 PM</t>
        </is>
      </c>
      <c r="W13" s="65" t="inlineStr">
        <is>
          <t>Cesar Vidal</t>
        </is>
      </c>
      <c r="X13" s="65" t="inlineStr">
        <is>
          <t>Banco Santander International</t>
        </is>
      </c>
      <c r="Y13" s="65" t="inlineStr">
        <is>
          <t>Banco Santander International</t>
        </is>
      </c>
      <c r="Z13" s="65" t="inlineStr">
        <is>
          <t>Banco Santander International</t>
        </is>
      </c>
    </row>
    <row r="14" customFormat="1" s="65">
      <c r="A14" s="65" t="inlineStr">
        <is>
          <t>3290</t>
        </is>
      </c>
      <c r="B14" s="65" t="inlineStr">
        <is>
          <t>2024 Full 2024 DR Test (Virginia)</t>
        </is>
      </c>
      <c r="C14" s="65" t="inlineStr">
        <is>
          <t>10/19/2024</t>
        </is>
      </c>
      <c r="D14" s="65" t="inlineStr">
        <is>
          <t>Euroclear EasyWay - BSI - 2024 Full 2024 DR Test (Virginia)</t>
        </is>
      </c>
      <c r="E14" s="65" t="inlineStr">
        <is>
          <t>Euroclear EasyWay - BSI</t>
        </is>
      </c>
      <c r="F14" s="65" t="inlineStr">
        <is>
          <t>Off-Premises</t>
        </is>
      </c>
      <c r="G14" s="65" t="inlineStr">
        <is>
          <t>High</t>
        </is>
      </c>
      <c r="H14" s="65" t="inlineStr">
        <is>
          <t>03:08:00</t>
        </is>
      </c>
      <c r="J14" s="65" t="inlineStr">
        <is>
          <t>0 - 8 hours</t>
        </is>
      </c>
      <c r="K14" s="65" t="inlineStr">
        <is>
          <t>8 - 24 hours</t>
        </is>
      </c>
      <c r="L14" s="65" t="inlineStr">
        <is>
          <t>Successful</t>
        </is>
      </c>
      <c r="M14" s="65" t="inlineStr">
        <is>
          <t>Jose Manuel Oliveros</t>
        </is>
      </c>
      <c r="N14" s="65" t="inlineStr">
        <is>
          <t>Cesar Rubio</t>
        </is>
      </c>
      <c r="O14" s="65" t="inlineStr">
        <is>
          <t>Successful</t>
        </is>
      </c>
      <c r="P14" s="65" t="inlineStr">
        <is>
          <t>Validated</t>
        </is>
      </c>
      <c r="Q14" s="65" t="inlineStr">
        <is>
          <t>10/22/2024</t>
        </is>
      </c>
      <c r="S14" s="65" t="inlineStr">
        <is>
          <t>Jorge Fraga</t>
        </is>
      </c>
      <c r="T14" s="65" t="inlineStr">
        <is>
          <t>06/24/2025, 1:18 PM</t>
        </is>
      </c>
      <c r="U14" s="65" t="inlineStr">
        <is>
          <t>Cesar Vidal</t>
        </is>
      </c>
      <c r="V14" s="65" t="inlineStr">
        <is>
          <t>06/24/2025, 3:32 PM</t>
        </is>
      </c>
      <c r="W14" s="65" t="inlineStr">
        <is>
          <t>Cesar Vidal</t>
        </is>
      </c>
      <c r="X14" s="65" t="inlineStr">
        <is>
          <t>Banco Santander International</t>
        </is>
      </c>
      <c r="Y14" s="65" t="inlineStr">
        <is>
          <t>Banco Santander International</t>
        </is>
      </c>
      <c r="Z14" s="65" t="inlineStr">
        <is>
          <t>Banco Santander International</t>
        </is>
      </c>
    </row>
    <row r="15" customFormat="1" s="65">
      <c r="A15" s="65" t="inlineStr">
        <is>
          <t>1856</t>
        </is>
      </c>
      <c r="B15" s="65" t="inlineStr">
        <is>
          <t>2024 Full 2024 DR Test (Virginia)</t>
        </is>
      </c>
      <c r="C15" s="65" t="inlineStr">
        <is>
          <t>10/19/2024</t>
        </is>
      </c>
      <c r="D15" s="65" t="inlineStr">
        <is>
          <t>DTCC - BSI - 2024 Full 2024 DR Test (Virginia)</t>
        </is>
      </c>
      <c r="E15" s="65" t="inlineStr">
        <is>
          <t>DTCC - BSI</t>
        </is>
      </c>
      <c r="F15" s="65" t="inlineStr">
        <is>
          <t>Off-Premises</t>
        </is>
      </c>
      <c r="G15" s="65" t="inlineStr">
        <is>
          <t>High</t>
        </is>
      </c>
      <c r="H15" s="65" t="inlineStr">
        <is>
          <t>04:06:00</t>
        </is>
      </c>
      <c r="J15" s="65" t="inlineStr">
        <is>
          <t>0 - 8 hours</t>
        </is>
      </c>
      <c r="K15" s="65" t="inlineStr">
        <is>
          <t>8 - 24 hours</t>
        </is>
      </c>
      <c r="L15" s="65" t="inlineStr">
        <is>
          <t>Successful</t>
        </is>
      </c>
      <c r="M15" s="65" t="inlineStr">
        <is>
          <t>Jose Manuel Oliveros</t>
        </is>
      </c>
      <c r="N15" s="65" t="inlineStr">
        <is>
          <t>Cesar Rubio</t>
        </is>
      </c>
      <c r="O15" s="65" t="inlineStr">
        <is>
          <t>Successful</t>
        </is>
      </c>
      <c r="P15" s="65" t="inlineStr">
        <is>
          <t>Validated</t>
        </is>
      </c>
      <c r="Q15" s="65" t="inlineStr">
        <is>
          <t>10/22/2024</t>
        </is>
      </c>
      <c r="S15" s="65" t="inlineStr">
        <is>
          <t>Jorge Fraga</t>
        </is>
      </c>
      <c r="T15" s="65" t="inlineStr">
        <is>
          <t>06/24/2025, 1:14 PM</t>
        </is>
      </c>
      <c r="U15" s="65" t="inlineStr">
        <is>
          <t>Cesar Vidal</t>
        </is>
      </c>
      <c r="V15" s="65" t="inlineStr">
        <is>
          <t>06/24/2025, 1:18 PM</t>
        </is>
      </c>
      <c r="W15" s="65" t="inlineStr">
        <is>
          <t>Cesar Vidal</t>
        </is>
      </c>
      <c r="X15" s="65" t="inlineStr">
        <is>
          <t>Banco Santander International</t>
        </is>
      </c>
      <c r="Y15" s="65" t="inlineStr">
        <is>
          <t>Banco Santander International</t>
        </is>
      </c>
      <c r="Z15" s="65" t="inlineStr">
        <is>
          <t>Banco Santander International</t>
        </is>
      </c>
    </row>
    <row r="16" customFormat="1" s="65">
      <c r="A16" s="65" t="inlineStr">
        <is>
          <t>4569</t>
        </is>
      </c>
      <c r="B16" s="65" t="inlineStr">
        <is>
          <t>2024 Full 2024 DR Test (Virginia)</t>
        </is>
      </c>
      <c r="C16" s="65" t="inlineStr">
        <is>
          <t>10/19/2024</t>
        </is>
      </c>
      <c r="D16" s="65" t="inlineStr">
        <is>
          <t>Appian BSI - Workflows - 2024 Full 2024 DR Test (Virginia)</t>
        </is>
      </c>
      <c r="E16" s="65" t="inlineStr">
        <is>
          <t>Appian BSI - Workflows</t>
        </is>
      </c>
      <c r="F16" s="65" t="inlineStr">
        <is>
          <t>On-Premises</t>
        </is>
      </c>
      <c r="G16" s="65" t="inlineStr">
        <is>
          <t>High</t>
        </is>
      </c>
      <c r="H16" s="65" t="inlineStr">
        <is>
          <t>02:00:00</t>
        </is>
      </c>
      <c r="J16" s="65" t="inlineStr">
        <is>
          <t>0 - 8 hours</t>
        </is>
      </c>
      <c r="K16" s="65" t="inlineStr">
        <is>
          <t>4 - 8 hours</t>
        </is>
      </c>
      <c r="L16" s="65" t="inlineStr">
        <is>
          <t>Successful</t>
        </is>
      </c>
      <c r="M16" s="65" t="inlineStr">
        <is>
          <t>Jose Manuel Oliveros</t>
        </is>
      </c>
      <c r="N16" s="65" t="inlineStr">
        <is>
          <t>Cesar Rubio</t>
        </is>
      </c>
      <c r="O16" s="65" t="inlineStr">
        <is>
          <t>Successful</t>
        </is>
      </c>
      <c r="P16" s="65" t="inlineStr">
        <is>
          <t>Validated</t>
        </is>
      </c>
      <c r="Q16" s="65" t="inlineStr">
        <is>
          <t>10/22/2024</t>
        </is>
      </c>
      <c r="S16" s="65" t="inlineStr">
        <is>
          <t>Cesar Vidal</t>
        </is>
      </c>
      <c r="T16" s="65" t="inlineStr">
        <is>
          <t>11/07/2024, 3:53 PM</t>
        </is>
      </c>
      <c r="U16" s="65" t="inlineStr">
        <is>
          <t>Cesar Vidal</t>
        </is>
      </c>
      <c r="V16" s="65" t="inlineStr">
        <is>
          <t>11/07/2024, 3:54 PM</t>
        </is>
      </c>
      <c r="W16" s="65" t="inlineStr">
        <is>
          <t>Cesar Vidal</t>
        </is>
      </c>
      <c r="X16" s="65" t="inlineStr">
        <is>
          <t>Banco Santander International</t>
        </is>
      </c>
      <c r="Y16" s="65" t="inlineStr">
        <is>
          <t>Banco Santander International</t>
        </is>
      </c>
      <c r="Z16" s="65" t="inlineStr">
        <is>
          <t>Banco Santander International</t>
        </is>
      </c>
      <c r="AA16" s="65"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65">
      <c r="A18" s="65" t="inlineStr">
        <is>
          <t>1871</t>
        </is>
      </c>
      <c r="B18" s="65" t="inlineStr">
        <is>
          <t>2024 Full 2024 DR Test (Virginia)</t>
        </is>
      </c>
      <c r="C18" s="65" t="inlineStr">
        <is>
          <t>10/19/2024</t>
        </is>
      </c>
      <c r="D18" s="65" t="inlineStr">
        <is>
          <t>Fedlink - BSI - 2024 Full 2024 DR Test (Virginia)</t>
        </is>
      </c>
      <c r="E18" s="65" t="inlineStr">
        <is>
          <t>Fedlink - BSI</t>
        </is>
      </c>
      <c r="F18" s="65" t="inlineStr">
        <is>
          <t>On-Premises</t>
        </is>
      </c>
      <c r="G18" s="65" t="inlineStr">
        <is>
          <t>High</t>
        </is>
      </c>
      <c r="H18" s="65" t="inlineStr">
        <is>
          <t>03:59:00</t>
        </is>
      </c>
      <c r="J18" s="65" t="inlineStr">
        <is>
          <t>0 - 8 hours</t>
        </is>
      </c>
      <c r="K18" s="65" t="inlineStr">
        <is>
          <t>4 - 8 hours</t>
        </is>
      </c>
      <c r="L18" s="65" t="inlineStr">
        <is>
          <t>Successful</t>
        </is>
      </c>
      <c r="M18" s="65" t="inlineStr">
        <is>
          <t>Jose Manuel Oliveros</t>
        </is>
      </c>
      <c r="N18" s="65" t="inlineStr">
        <is>
          <t>Cesar Rubio</t>
        </is>
      </c>
      <c r="O18" s="65" t="inlineStr">
        <is>
          <t>Successful</t>
        </is>
      </c>
      <c r="P18" s="65" t="inlineStr">
        <is>
          <t>Validated</t>
        </is>
      </c>
      <c r="Q18" s="65" t="inlineStr">
        <is>
          <t>10/22/2024</t>
        </is>
      </c>
      <c r="T18" s="65" t="inlineStr">
        <is>
          <t>10/24/2024, 11:35 AM</t>
        </is>
      </c>
      <c r="U18" s="65" t="inlineStr">
        <is>
          <t>Jorge Fraga</t>
        </is>
      </c>
      <c r="V18" s="65" t="inlineStr">
        <is>
          <t>10/24/2024, 11:37 AM</t>
        </is>
      </c>
      <c r="W18" s="65" t="inlineStr">
        <is>
          <t>Jorge Fraga</t>
        </is>
      </c>
      <c r="X18" s="65" t="inlineStr">
        <is>
          <t>Banco Santander International</t>
        </is>
      </c>
      <c r="Y18" s="65" t="inlineStr">
        <is>
          <t>Banco Santander International</t>
        </is>
      </c>
      <c r="Z18" s="65" t="inlineStr">
        <is>
          <t>Banco Santander International</t>
        </is>
      </c>
      <c r="AA18" s="65" t="inlineStr">
        <is>
          <t>GLBA</t>
        </is>
      </c>
    </row>
    <row r="19" customFormat="1" s="65"/>
    <row r="20" customFormat="1" s="65"/>
    <row r="21" customFormat="1" s="65"/>
    <row r="22" customFormat="1" s="65"/>
    <row r="23" customFormat="1" s="65"/>
    <row r="24" customFormat="1" s="65"/>
    <row r="25" customFormat="1" s="65"/>
    <row r="26" customFormat="1" s="65"/>
    <row r="27" customFormat="1" s="65"/>
    <row r="28" customFormat="1" s="65"/>
    <row r="29" customFormat="1" s="65"/>
    <row r="30" customFormat="1" s="65"/>
    <row r="31" customFormat="1" s="65"/>
    <row r="32" customFormat="1" s="65"/>
    <row r="33" customFormat="1" s="65"/>
    <row r="34" customFormat="1" s="65"/>
    <row r="35" customFormat="1" s="65"/>
    <row r="36" customFormat="1" s="65"/>
    <row r="37" customFormat="1" s="65"/>
    <row r="38" customFormat="1" s="65"/>
    <row r="39" customFormat="1" s="65"/>
    <row r="40" customFormat="1" s="6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2026-09-25T06:02:10Z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