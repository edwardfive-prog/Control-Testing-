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L" sheetId="1" state="visible" r:id="rId3"/>
    <sheet name="Test Script Alignment" sheetId="2" state="visible" r:id="rId4"/>
    <sheet name="Summary" sheetId="3" state="visible" r:id="rId5"/>
    <sheet name="Coverage Period" sheetId="4" state="visible" r:id="rId6"/>
    <sheet name="Source Mapping" sheetId="5" state="visible" r:id="rId7"/>
  </sheets>
  <definedNames>
    <definedName function="false" hidden="false" localSheetId="0" name="_xlnm.Print_Titles" vbProcedure="false">DRL!$4:$4</definedName>
    <definedName function="false" hidden="true" localSheetId="0" name="_xlnm._FilterDatabase" vbProcedure="false">DRL!$A$4:$M$56</definedName>
    <definedName function="false" hidden="true" localSheetId="1" name="_xlnm._FilterDatabase" vbProcedure="false">'Test Script Alignment'!$A$4:$F$58</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F6" authorId="0">
      <text>
        <r>
          <rPr>
            <sz val="10"/>
            <rFont val="Arial"/>
            <family val="2"/>
          </rPr>
          <t xml:space="preserve">Source: WP2 BSI.IT.10.C11 &gt; Control Performance Assessment &gt; Population Timeframe (10/1/2024 - 6/30/2025).</t>
        </r>
      </text>
    </comment>
    <comment ref="F7" authorId="0">
      <text>
        <r>
          <rPr>
            <sz val="10"/>
            <rFont val="Arial"/>
            <family val="2"/>
          </rPr>
          <t xml:space="preserve">Source: WP2 BSI.IT.10.C12 &gt; Control Performance Assessment &gt; Population Timeframe (10/1/2024 - 5/31/2025).</t>
        </r>
      </text>
    </comment>
    <comment ref="F8" authorId="0">
      <text>
        <r>
          <rPr>
            <sz val="10"/>
            <rFont val="Arial"/>
            <family val="2"/>
          </rPr>
          <t xml:space="preserve">Source: WP2 BSI.IT.10.C13 &gt; Control Performance Assessment &gt; Population Timeframe (10/01/2024 - 7/4/2025).</t>
        </r>
      </text>
    </comment>
    <comment ref="F9" authorId="0">
      <text>
        <r>
          <rPr>
            <sz val="10"/>
            <rFont val="Arial"/>
            <family val="2"/>
          </rPr>
          <t xml:space="preserve">Source: WP2 BSI.IT.10.C18 &gt; Control Performance Assessment &gt; Population Timeframe (10/1/2024 - 7/4/2025).</t>
        </r>
      </text>
    </comment>
    <comment ref="F10" authorId="0">
      <text>
        <r>
          <rPr>
            <sz val="10"/>
            <rFont val="Arial"/>
            <family val="2"/>
          </rPr>
          <t xml:space="preserve">Source: WP2 BSI.IT.10.C19 &gt; Control Performance Assessment &gt; Population Timeframe (10/01/2024 - 7/4/2025).</t>
        </r>
      </text>
    </comment>
    <comment ref="F11" authorId="0">
      <text>
        <r>
          <rPr>
            <sz val="10"/>
            <rFont val="Arial"/>
            <family val="2"/>
          </rPr>
          <t xml:space="preserve">Source: WP2 SBNA.IT.10.C14 &gt; Control Performance Assessment &gt; Population Timeframe (10/1/2024 - 5/31/2025).</t>
        </r>
      </text>
    </comment>
    <comment ref="G6" authorId="0">
      <text>
        <r>
          <rPr>
            <sz val="10"/>
            <rFont val="Arial"/>
            <family val="2"/>
          </rPr>
          <t xml:space="preserve">Source: IT RCSA 2026 Test Plan &gt; Export tab &gt; 'Assessment Testing Frequency'.</t>
        </r>
      </text>
    </comment>
    <comment ref="G7" authorId="0">
      <text>
        <r>
          <rPr>
            <sz val="10"/>
            <rFont val="Arial"/>
            <family val="2"/>
          </rPr>
          <t xml:space="preserve">Source: IT RCSA 2026 Test Plan &gt; Export tab &gt; 'Assessment Testing Frequency'.</t>
        </r>
      </text>
    </comment>
    <comment ref="G8" authorId="0">
      <text>
        <r>
          <rPr>
            <sz val="10"/>
            <rFont val="Arial"/>
            <family val="2"/>
          </rPr>
          <t xml:space="preserve">Source: IT RCSA 2026 Test Plan &gt; Export tab &gt; 'Assessment Testing Frequency'.</t>
        </r>
      </text>
    </comment>
    <comment ref="G9" authorId="0">
      <text>
        <r>
          <rPr>
            <sz val="10"/>
            <rFont val="Arial"/>
            <family val="2"/>
          </rPr>
          <t xml:space="preserve">Source: IT RCSA 2026 Test Plan &gt; Export tab &gt; 'Assessment Testing Frequency'.</t>
        </r>
      </text>
    </comment>
    <comment ref="G10" authorId="0">
      <text>
        <r>
          <rPr>
            <sz val="10"/>
            <rFont val="Arial"/>
            <family val="2"/>
          </rPr>
          <t xml:space="preserve">Source: IT RCSA 2026 Test Plan &gt; Export tab &gt; 'Assessment Testing Frequency'.</t>
        </r>
      </text>
    </comment>
    <comment ref="G11" authorId="0">
      <text>
        <r>
          <rPr>
            <sz val="10"/>
            <rFont val="Arial"/>
            <family val="2"/>
          </rPr>
          <t xml:space="preserve">Source: IT RCSA 2026 Test Plan &gt; Export tab &gt; 'Assessment Testing Frequency'.</t>
        </r>
      </text>
    </comment>
  </commentList>
</comments>
</file>

<file path=xl/sharedStrings.xml><?xml version="1.0" encoding="utf-8"?>
<sst xmlns="http://schemas.openxmlformats.org/spreadsheetml/2006/main" count="866" uniqueCount="332">
  <si>
    <t xml:space="preserve">Document Request List (DRL) - 2026 IT RCSA Cycle 1 - Configuration Management / Malware Protection Controls</t>
  </si>
  <si>
    <t xml:space="preserve">Each request is mapped to the 2026 NewTest Script step it supports. Upload each item to the control's evidence folder using the Request # in the file name (e.g., 'C11-04 &lt;server name&gt;.png'). Every population and report MUST include screenshots of the system where it was generated, the query/filters, the record count and the run date/time and user (see 'Screenshot Requirement'). Sample-level items will be requested once IT RCSA selects samples. Control owner: complete the yellow columns.</t>
  </si>
  <si>
    <t xml:space="preserve">Control #</t>
  </si>
  <si>
    <t xml:space="preserve">Control Statement</t>
  </si>
  <si>
    <t xml:space="preserve">Request #</t>
  </si>
  <si>
    <t xml:space="preserve">Evidence Request/Description</t>
  </si>
  <si>
    <t xml:space="preserve">Coverage Period</t>
  </si>
  <si>
    <t xml:space="preserve">Test Script Step</t>
  </si>
  <si>
    <t xml:space="preserve">Test Script Procedure (2026 NewTest Script)</t>
  </si>
  <si>
    <t xml:space="preserve">Screenshot Requirement (System / Population)</t>
  </si>
  <si>
    <t xml:space="preserve">Prior (2025) Evidence Reference</t>
  </si>
  <si>
    <t xml:space="preserve">Control Owner</t>
  </si>
  <si>
    <t xml:space="preserve">Date Provided</t>
  </si>
  <si>
    <t xml:space="preserve">Status</t>
  </si>
  <si>
    <t xml:space="preserve">Control Owner Comments</t>
  </si>
  <si>
    <t xml:space="preserve">BSI.IT.10.C11</t>
  </si>
  <si>
    <t xml:space="preserve">[BSI.IT.10.C11 Vendor Defaults] In every operation, Infrastructure teams change vendor default passwords for root or administrator accounts on Operating Systems before the server reaches install status in CMDB.</t>
  </si>
  <si>
    <t xml:space="preserve">C11-01</t>
  </si>
  <si>
    <t xml:space="preserve">Current Windows Server and Red Hat Enterprise Linux (RHEL) hardening guides / server build procedures showing the requirement to change vendor default credentials for the built-in Administrator, Guest and root accounts, and the build step (before the server reaches 'Install' status in CMDB) where this is performed.</t>
  </si>
  <si>
    <t xml:space="preserve">1. Obtain Evidence</t>
  </si>
  <si>
    <t xml:space="preserve">Obtain the Windows Server and RHEL hardening guides / build procedures, the CMDB server inventory, system configuration evidence and administrative procedures demonstrating how vendor default passwords for root/administrator accounts are changed before the server reaches Install status in CMDB.</t>
  </si>
  <si>
    <t xml:space="preserve">DOCUMENT: provide the current version showing owner, version and approval/effective date, with a screenshot of the repository location (system name / path) where it is stored.</t>
  </si>
  <si>
    <t xml:space="preserve">2025 WP2 Test Procedure steps 1-2</t>
  </si>
  <si>
    <t xml:space="preserve">Ian Rojo</t>
  </si>
  <si>
    <t xml:space="preserve">C11-02</t>
  </si>
  <si>
    <t xml:space="preserve">Control owner's completeness &amp; accuracy check over the CMDB server report (e.g., reconciliation of the CMDB server list to Active Directory computer objects / virtualization console for the same period), with screenshots of both systems showing record counts.</t>
  </si>
  <si>
    <t xml:space="preserve">2. Validate Report Completeness and Accuracy</t>
  </si>
  <si>
    <t xml:space="preserve">Inspect the system-generated CMDB report used as the population and determine whether it contains the attributes needed (server name, OS, Install status and date). Validate report accuracy by tracing selected report fields to the originating system (CMDB / AD / virtualization console) and document report parameters.</t>
  </si>
  <si>
    <t xml:space="preserve">REPORT SCREENSHOTS REQUIRED: system name / URL or console where the report was generated, report name, parameters/filters, total record count, run date/time and user ID. Provide the control owner's reconciliation (source totals vs report totals) with the source system screenshot.</t>
  </si>
  <si>
    <t xml:space="preserve">New for 2026 (Test Script step 2)</t>
  </si>
  <si>
    <t xml:space="preserve">C11-03</t>
  </si>
  <si>
    <t xml:space="preserve">System-generated CMDB (ServiceNow) report of ALL BSI Windows and RHEL servers that reached 'Install' status during the Coverage Period: server name, OS and version, environment (Prod/Non-Prod), entity, created date and date moved to Install status.</t>
  </si>
  <si>
    <t xml:space="preserve">3. Validate Population and Scope</t>
  </si>
  <si>
    <t xml:space="preserve">Determine whether the population of Windows and RHEL servers that reached Install status during the coverage period is complete and consistent with the control design (BSI, on-premise operating systems).</t>
  </si>
  <si>
    <t xml:space="preserve">POPULATION SCREENSHOTS REQUIRED: (1) the source system and module where the population was generated, with the system name / URL or console visible (e.g., ServiceNow &gt; CMDB &gt; Servers); (2) the complete query / filter conditions, including the date range matching the Coverage Period; (3) the total record count returned by the system; (4) the date/time the report was run and the user ID who ran it. The exported file's record count must agree to the screenshot. Do not alter the export (no deleted rows/columns).</t>
  </si>
  <si>
    <t xml:space="preserve">2025 population: 417 Windows &amp; Linux servers from CMDB</t>
  </si>
  <si>
    <t xml:space="preserve">C11-04</t>
  </si>
  <si>
    <t xml:space="preserve">For each Windows server sample selected by IT RCSA: security policy export (secedit /export /cfg c:\security_export.txt) or equivalent screenshot showing NewAdministratorName and NewGuestName changed from the vendor default and the Guest account disabled.</t>
  </si>
  <si>
    <t xml:space="preserve">4. Verify Control Execution</t>
  </si>
  <si>
    <t xml:space="preserve">For a methodology-based sample of servers, inspect configuration evidence and verify the built-in Administrator/Guest (Windows) and root (RHEL) vendor default credentials were changed or disabled in accordance with the hardening guides, and that the change occurred before the server reached Install status in CMDB.</t>
  </si>
  <si>
    <t xml:space="preserve">SAMPLE SCREENSHOTS REQUIRED (per sample): hostname/device name, system/console where the evidence was captured, the setting or record values, and the date/time stamp. Name each file with the Request # and sample name.</t>
  </si>
  <si>
    <t xml:space="preserve">BSI.IT.10.C11.05 Windows sample</t>
  </si>
  <si>
    <t xml:space="preserve">C11-05</t>
  </si>
  <si>
    <t xml:space="preserve">For each Windows server sample: evidence that the local Administrator password was changed from the vendor default before the CMDB Install date (e.g., LAPS password last-set / expiration attribute, or PAM vault onboarding record with date).</t>
  </si>
  <si>
    <t xml:space="preserve">New for 2026 - timing attribute in revised control statement</t>
  </si>
  <si>
    <t xml:space="preserve">C11-06</t>
  </si>
  <si>
    <t xml:space="preserve">For each RHEL server sample: command output for (a) grep PermitRootLogin /etc/ssh/sshd_config and (b) passwd -S root or chage -l root showing root password status / last change date.</t>
  </si>
  <si>
    <t xml:space="preserve">BSI.IT.10.C11.06 Linux Servers</t>
  </si>
  <si>
    <t xml:space="preserve">C11-07</t>
  </si>
  <si>
    <t xml:space="preserve">For each server sample: CMDB record screenshot showing the server creation date and the date the server moved to Install status (to compare against the default-credential change date).</t>
  </si>
  <si>
    <t xml:space="preserve">5. Validate Control Results</t>
  </si>
  <si>
    <t xml:space="preserve">Evaluate the configuration outputs for each sample against the hardening guide requirements and the CMDB Install date; identify and document any server where vendor defaults were not changed or were changed after Install status.</t>
  </si>
  <si>
    <t xml:space="preserve">New for 2026 (Test Script step 5)</t>
  </si>
  <si>
    <t xml:space="preserve">C11-08</t>
  </si>
  <si>
    <t xml:space="preserve">List of any servers where vendor defaults could not be changed during the Coverage Period, with documented business justification and approval.</t>
  </si>
  <si>
    <t xml:space="preserve">6. Verify Exception Handling</t>
  </si>
  <si>
    <t xml:space="preserve">Inspect documented exceptions where vendor defaults could not be changed. Verify exceptions are formally authorized, documented and maintained in accordance with governance requirements.</t>
  </si>
  <si>
    <t xml:space="preserve">LISTING: provide the list/tickets with a screenshot of the system where it was generated (system name, query/filters, record count, run date/time). If there are none, provide written (email) confirmation from the control owner.</t>
  </si>
  <si>
    <t xml:space="preserve">2025: none noted</t>
  </si>
  <si>
    <t xml:space="preserve">C11-09</t>
  </si>
  <si>
    <t xml:space="preserve">Tickets / vulnerability or configuration-scan findings (e.g., Qualys) raised during the Coverage Period for default or unchanged root/administrator credentials, with escalation and remediation evidence and closure dates.</t>
  </si>
  <si>
    <t xml:space="preserve">7. Verify Escalation and Remediation</t>
  </si>
  <si>
    <t xml:space="preserve">Where default credentials or noncompliance were identified, verify issues were documented, assigned, tracked, escalated when necessary and remediated in accordance with established procedures.</t>
  </si>
  <si>
    <t xml:space="preserve">New for 2026</t>
  </si>
  <si>
    <t xml:space="preserve">BSI.IT.10.C12</t>
  </si>
  <si>
    <t xml:space="preserve">[BSI.IT.10.C12 Encrypt Endpoint Device] In every operation, prior to assigning a user a computer, the End User Technology (EUT) team encrypts endpoints with approved encryption algorithms and lengths.</t>
  </si>
  <si>
    <t xml:space="preserve">C12-01</t>
  </si>
  <si>
    <t xml:space="preserve">Current Encryption / Cryptography Standard listing the approved encryption algorithms and key lengths for end-user computers (Windows and macOS).</t>
  </si>
  <si>
    <t xml:space="preserve">Obtain the Encryption/Cryptography Standard (approved algorithms and key lengths), EUT imaging and device-assignment procedures, imaging task sequence and encryption policy configurations, and endpoint encryption compliance reports.</t>
  </si>
  <si>
    <t xml:space="preserve">New for 2026 - 'approved encryption algorithms and lengths'</t>
  </si>
  <si>
    <t xml:space="preserve">Cesar Rubio</t>
  </si>
  <si>
    <t xml:space="preserve">C12-02</t>
  </si>
  <si>
    <t xml:space="preserve">EUT procedure for imaging (Windows) and assignment (macOS) of user computers, showing that encryption is applied before a device is assigned and that devices which cannot be imaged/encrypted are not assigned.</t>
  </si>
  <si>
    <t xml:space="preserve">2025 WP2 control description</t>
  </si>
  <si>
    <t xml:space="preserve">C12-03</t>
  </si>
  <si>
    <t xml:space="preserve">Encryption compliance report (Intune / MBAM / Trellix ePO) for all BSI endpoints as of the request date: device name, encryption status, encryption method and key length, and the control owner's reconciliation of its device count to the asset inventory. List devices still on legacy Trellix native encryption (AES-256-CBC) and the BitLocker transition status.</t>
  </si>
  <si>
    <t xml:space="preserve">Inspect the imaged/assigned-device report and the encryption compliance report and validate completeness and accuracy by tracing selected records to the source systems (SCCM/Intune/ePO, asset management). Verify reports contain device name, image/assignment date, encryption status, algorithm and key length.</t>
  </si>
  <si>
    <t xml:space="preserve">2025 WP2 Summary of Results item 2</t>
  </si>
  <si>
    <t xml:space="preserve">C12-04</t>
  </si>
  <si>
    <t xml:space="preserve">System-generated report of ALL BSI user computers imaged and/or assigned to users during the Coverage Period: device name, OS, image date, assigned user and assignment date.</t>
  </si>
  <si>
    <t xml:space="preserve">Verify the population includes all BSI user computers imaged and/or assigned during the coverage period and reconcile it to the encryption compliance report to identify devices subject to the control.</t>
  </si>
  <si>
    <t xml:space="preserve">New for 2026 - supports 'prior to assigning' attribute</t>
  </si>
  <si>
    <t xml:space="preserve">C12-05</t>
  </si>
  <si>
    <t xml:space="preserve">Screenshot of the production Windows imaging task sequence (SCCM/MECM or Intune Autopilot) showing the encryption step(s) (e.g., 'Deploy MNE BitLocker' / 'Install Drive Encryption').</t>
  </si>
  <si>
    <t xml:space="preserve">Inspect the automated imaging task sequence and encryption policy and verify encryption is enforced with an approved algorithm and key length before the computer is assigned to a user (automated control - test configuration and selected device).</t>
  </si>
  <si>
    <t xml:space="preserve">CONFIGURATION SCREENSHOTS REQUIRED: system/console name and URL (or hostname for command output), policy/configuration name, setting values, assignment/scope (groups or devices the policy applies to), last-modified date, and the date/time the screenshot was taken (system clock visible). Command output must show the hostname and the command executed.</t>
  </si>
  <si>
    <t xml:space="preserve">BSI.IT.10.C12.03 Encryption task and algorithm</t>
  </si>
  <si>
    <t xml:space="preserve">C12-06</t>
  </si>
  <si>
    <t xml:space="preserve">Screenshot of the encryption policy configuration (GPO / Intune / Trellix ePO) showing the enforced encryption method and key length (e.g., BitLocker XTS-AES 256); for macOS, the FileVault enforcement configuration profile in the MDM.</t>
  </si>
  <si>
    <t xml:space="preserve">C12-07</t>
  </si>
  <si>
    <t xml:space="preserve">For the sample device(s) selected by IT RCSA: manage-bde -status (Windows) or fdesetup status (macOS) output showing Protection On and encryption method / key length, plus the asset assignment record showing the assignment date.</t>
  </si>
  <si>
    <t xml:space="preserve">For the selected device(s), verify encryption is enabled with the approved algorithm and key length and that encryption was in place before the assignment date. Identify any device not encrypted or using a non-approved algorithm.</t>
  </si>
  <si>
    <t xml:space="preserve">2025 sample: laptop screenshot XTS-AES 256</t>
  </si>
  <si>
    <t xml:space="preserve">C12-08</t>
  </si>
  <si>
    <t xml:space="preserve">List of devices that could not be encrypted or re-imaged during the Coverage Period and evidence they were not assigned to users, or approved exceptions.</t>
  </si>
  <si>
    <t xml:space="preserve">Inspect devices that could not be imaged or encrypted and verify they were not assigned to users, or that exceptions were formally documented and approved.</t>
  </si>
  <si>
    <t xml:space="preserve">C12-09</t>
  </si>
  <si>
    <t xml:space="preserve">Tickets for devices identified as unencrypted or using a non-approved algorithm, with escalation and remediation evidence; and change history (change tickets / ePO or Intune audit log) for the imaging task sequence and encryption policy during the Coverage Period.</t>
  </si>
  <si>
    <t xml:space="preserve">For unencrypted devices or configuration deviations, verify issues were documented, escalated to EUT and remediated or managed through an approved exception process. Verify changes to the automated configuration were approved.</t>
  </si>
  <si>
    <t xml:space="preserve">New for 2026 (Test Script step 7)</t>
  </si>
  <si>
    <t xml:space="preserve">BSI.IT.10.C13</t>
  </si>
  <si>
    <t xml:space="preserve">[BSI.IT.10.C13 Config Authentication] In every operation, Infrastructure Engineering have configured strong authentication settings/policies for operating systems on premise to align with the Authentication and Authorization Standard. Exception to authentication configurations must be approved by the CISO.</t>
  </si>
  <si>
    <t xml:space="preserve">C13-01</t>
  </si>
  <si>
    <t xml:space="preserve">Current Authentication and Authorization Standard and the Windows Server and RHEL hardening guides showing required values for: minimum password length, complexity, minimum/maximum password age, password history, failed-login lockout threshold, lockout duration, reset lockout counter and idle session timeout.</t>
  </si>
  <si>
    <t xml:space="preserve">Obtain the current Authentication and Authorization Standard, operating system authentication configuration reports for in-scope on-premise environments, evidence of configuration implementation by Infrastructure Engineering, and any documented exception approvals.</t>
  </si>
  <si>
    <t xml:space="preserve">2025 WP2 Test Procedure step 3</t>
  </si>
  <si>
    <t xml:space="preserve">C13-02</t>
  </si>
  <si>
    <t xml:space="preserve">Control owner's completeness &amp; accuracy check over the server inventory (e.g., reconciliation to Active Directory / virtualization console), with screenshots of both systems showing record counts.</t>
  </si>
  <si>
    <t xml:space="preserve">Inspect the configuration reports used for testing and verify they contain all authentication settings required by the Authentication and Authorization Standard. Validate report accuracy by tracing selected settings from the report to the underlying operating system configuration source.</t>
  </si>
  <si>
    <t xml:space="preserve">C13-03</t>
  </si>
  <si>
    <t xml:space="preserve">System-generated inventory (CMDB) of ALL on-premise BSI Windows and Linux (RHEL) servers in scope during the Coverage Period: server name, OS/version, environment, status.</t>
  </si>
  <si>
    <t xml:space="preserve">Verify the population includes all in-scope on-premise operating systems subject to the control. Confirm the configuration reports and evidence obtained represent the complete population covered by the control.</t>
  </si>
  <si>
    <t xml:space="preserve">BSI.IT.10.C13.04 Server inventory (416 servers)</t>
  </si>
  <si>
    <t xml:space="preserve">C13-04</t>
  </si>
  <si>
    <t xml:space="preserve">For each Windows server sample selected by IT RCSA: security export (secedit /export /cfg c:\security_export.txt) and/or applied GPO (gpresult /h) showing MinimumPasswordLength, PasswordComplexity, MinimumPasswordAge, MaximumPasswordAge, PasswordHistorySize, LockoutBadCount, LockoutDuration, ResetLockoutCount and idle session timeout.</t>
  </si>
  <si>
    <t xml:space="preserve">Inspect authentication configuration settings and verify Infrastructure Engineering configured operating systems in accordance with the Authentication and Authorization Standard. Confirm required password and authentication settings are implemented and enforced within the operating system configuration.</t>
  </si>
  <si>
    <t xml:space="preserve">BSI.IT.10.C13.05 Windows samples password.zip</t>
  </si>
  <si>
    <t xml:space="preserve">C13-05</t>
  </si>
  <si>
    <t xml:space="preserve">For each RHEL server sample: contents of /etc/login.defs, /etc/security/pwquality.conf, /etc/pam.d/system-auth and /etc/pam.d/password-auth (faillock deny / unlock_time, pwhistory remember) and the idle timeout setting (TMOUT in /etc/profile or /etc/profile.d).</t>
  </si>
  <si>
    <t xml:space="preserve">BSI.IT.10.C13.06 Linux samples</t>
  </si>
  <si>
    <t xml:space="preserve">C13-06</t>
  </si>
  <si>
    <t xml:space="preserve">Configuration compliance scan results (e.g., Qualys Policy Compliance against the hardening guides) for BSI servers during the Coverage Period showing pass/fail of the authentication settings, to identify deviations from the Standard.</t>
  </si>
  <si>
    <t xml:space="preserve">Evaluate the configuration results and verify implemented authentication settings align with approved requirements and support enforcement of strong password configurations. Identify and document any configuration deviations from the standard.</t>
  </si>
  <si>
    <t xml:space="preserve">C13-07</t>
  </si>
  <si>
    <t xml:space="preserve">List of authentication configuration exceptions in effect during the Coverage Period with CISO approval evidence and business justification.</t>
  </si>
  <si>
    <t xml:space="preserve">Inspect identified authentication configuration exceptions and verify exceptions were formally documented, supported by business justification, and approved by the CISO as required by the control.</t>
  </si>
  <si>
    <t xml:space="preserve">2025: exceptions noted without CISO approval</t>
  </si>
  <si>
    <t xml:space="preserve">C13-08</t>
  </si>
  <si>
    <t xml:space="preserve">Remediation evidence for open Action Driver 005056BCA24E1FD0B4A6A1173BF00BA4 (2025 RCSA - Config Authentication Exceptions): change tickets and configuration evidence that Windows AccountLockoutDuration was set to 15 minutes or more and idle session timeout was defined; current AD status and target date.</t>
  </si>
  <si>
    <t xml:space="preserve">For identified configuration deviations, verify issues were communicated to the appropriate support personnel, tracked to resolution, or managed through an approved exception process. Review supporting remediation documentation where applicable.</t>
  </si>
  <si>
    <t xml:space="preserve">2025 exceptions: AccountLockoutDuration = -1 on 10 Windows servers; idle timeout not defined</t>
  </si>
  <si>
    <t xml:space="preserve">BSI.IT.10.C18</t>
  </si>
  <si>
    <t xml:space="preserve">[BSI.IT.10.C18 Endpoint Protection] In every operation and upon imaging of a user computer, EUT installs Endpoint Protection on the user computers to detect and quarantine malicious software. Exceptions to disable malware protections on user computers are approved by the CISO (or delegate).</t>
  </si>
  <si>
    <t xml:space="preserve">C18-01</t>
  </si>
  <si>
    <t xml:space="preserve">EUT imaging / endpoint build procedure showing installation of Endpoint Protection (CrowdStrike Falcon) on user computers, and the process to request and approve exceptions to disable malware protection (CISO or delegate).</t>
  </si>
  <si>
    <t xml:space="preserve">Obtain the inventory of user computers imaged during the testing period, CrowdStrike agent installation records, imaging/build automation evidence (image task sequence, BigFix action), Falcon prevention policy and any approved exceptions for disabling malware protection.</t>
  </si>
  <si>
    <t xml:space="preserve">C18-02</t>
  </si>
  <si>
    <t xml:space="preserve">CrowdStrike Falcon host management export for BSI workstations/laptops as of the request date (hostname, first seen, last seen, sensor version, prevention policy) and the control owner's reconciliation to the imaged-device list / AD computer objects identifying any devices without the agent.</t>
  </si>
  <si>
    <t xml:space="preserve">Inspect the imaged-device report and CrowdStrike host report and validate completeness and accuracy by tracing a selection of records to the source systems. Verify the reports identify device name, image date, sensor installation status and first-seen date.</t>
  </si>
  <si>
    <t xml:space="preserve">New for 2026 (Test Script steps 2-3)</t>
  </si>
  <si>
    <t xml:space="preserve">C18-03</t>
  </si>
  <si>
    <t xml:space="preserve">System-generated list of ALL BSI user computers imaged during the Coverage Period (SCCM / Intune / BigFix): device name, model, image date, assigned user.</t>
  </si>
  <si>
    <t xml:space="preserve">Verify the population includes all BSI user computers imaged during the testing period. Reconcile the imaged-device population to the CrowdStrike host population to identify devices without the agent and any devices excluded from scope.</t>
  </si>
  <si>
    <t xml:space="preserve">C18-04</t>
  </si>
  <si>
    <t xml:space="preserve">Screenshot of the BigFix action configured to deploy the CrowdStrike Windows Sensor to workstations and laptops when the agent is not found (e.g., 'PERMANENT ACTION - SOFTWARE_DEPLOYMENT_CROWDSTRIKE_WINDOWS_SENSOR'), showing status, targeting/relevance and expiration (never expires).</t>
  </si>
  <si>
    <t xml:space="preserve">Inspect the automated deployment (image task sequence and BigFix permanent action) and, for selected devices, verify Endpoint Protection (CrowdStrike) was installed upon imaging in line with the documented build process.</t>
  </si>
  <si>
    <t xml:space="preserve">BSI.IT.10.C18.02 CS Installed</t>
  </si>
  <si>
    <t xml:space="preserve">C18-05</t>
  </si>
  <si>
    <t xml:space="preserve">Screenshot of the workstation image / task sequence showing the CrowdStrike sensor installation step (if included in the image).</t>
  </si>
  <si>
    <t xml:space="preserve">New for 2026 - 'upon imaging' attribute</t>
  </si>
  <si>
    <t xml:space="preserve">C18-06</t>
  </si>
  <si>
    <t xml:space="preserve">CrowdStrike Falcon prevention policy applied to BSI workstations showing detection and quarantine settings enabled (e.g., ML prevention, Quarantine &amp; Security Center Registration, Quarantine on write).</t>
  </si>
  <si>
    <t xml:space="preserve">Verify the CrowdStrike agent is present and active on selected devices and that the prevention policy detects and quarantines malicious software. For devices without the agent, determine whether an approved exception exists.</t>
  </si>
  <si>
    <t xml:space="preserve">New for 2026 - 'detect and quarantine' attribute</t>
  </si>
  <si>
    <t xml:space="preserve">C18-07</t>
  </si>
  <si>
    <t xml:space="preserve">For each device sample selected by IT RCSA: Falcon console host-detail screenshot showing sensor installed and active, sensor version and first-seen date relative to the image date.</t>
  </si>
  <si>
    <t xml:space="preserve">C18-08</t>
  </si>
  <si>
    <t xml:space="preserve">List of user computers with malware protection disabled, sensor removed or placed in an exclusion/bypass group during the Coverage Period, with CISO (or delegate) approval.</t>
  </si>
  <si>
    <t xml:space="preserve">Inspect user computers with malware protection disabled or excluded and verify exceptions were documented, justified and approved by the CISO or delegate.</t>
  </si>
  <si>
    <t xml:space="preserve">C18-09</t>
  </si>
  <si>
    <t xml:space="preserve">Tickets for devices found without the agent or with the agent disabled during the Coverage Period, with escalation and remediation evidence; change history for the BigFix action and Falcon prevention policy during the period.</t>
  </si>
  <si>
    <t xml:space="preserve">For devices without Endpoint Protection and no approved exception, verify the issue was escalated to EUT, tracked and remediated. Verify changes to the BigFix action / prevention policy were approved.</t>
  </si>
  <si>
    <t xml:space="preserve">BSI.IT.10.C19</t>
  </si>
  <si>
    <t xml:space="preserve">[BSI.IT.10.C19 Server Protection] In every operation and upon imaging of a server, Infrastructure Engineering installs Endpoint Protection on the server to mitigate the risk of any malicious software. Exceptions to disable malware protections on server are approved by the CISO (or delegate).</t>
  </si>
  <si>
    <t xml:space="preserve">C19-01</t>
  </si>
  <si>
    <t xml:space="preserve">Server build / imaging procedures (Windows and RHEL) showing installation of Endpoint Protection (CrowdStrike Falcon) on servers, and the process to request and approve exceptions to disable malware protection (CISO or delegate).</t>
  </si>
  <si>
    <t xml:space="preserve">Obtain the CMDB inventories for all Windows and Linux (Red Hat) servers created during the testing period, CrowdStrike agent installation records for those servers, server build/image procedures or build automation evidence, and any approved exceptions for disabling malware protection.</t>
  </si>
  <si>
    <t xml:space="preserve">2025 WP2 Test Procedure</t>
  </si>
  <si>
    <t xml:space="preserve">C19-02</t>
  </si>
  <si>
    <t xml:space="preserve">CrowdStrike Falcon host management export for BSI servers as of the request date (hostname, OS, first seen, last seen, sensor version, prevention policy) and the control owner's reconciliation of the new-server population to the Falcon export.</t>
  </si>
  <si>
    <t xml:space="preserve">Inspect the CMDB inventory and CrowdStrike installation reports and validate completeness and accuracy by tracing a selection of records to supporting system sources. Verify the reports contain sufficient information to identify server creation dates, server type, operating system, and CrowdStrike installation status.</t>
  </si>
  <si>
    <t xml:space="preserve">C19-03</t>
  </si>
  <si>
    <t xml:space="preserve">System-generated ServiceNow / CMDB query of ALL BSI Windows and Linux (RHEL) servers created during the Coverage Period: server name, OS, environment, created date, install status.</t>
  </si>
  <si>
    <t xml:space="preserve">Verify the CMDB population includes all in-scope Windows and Linux (Red Hat) servers created during the testing period. Reconcile the server inventory population to the CrowdStrike installation population to identify servers subject to malware protection requirements and determine whether any devices are excluded from scope.</t>
  </si>
  <si>
    <t xml:space="preserve">BSI.IT.10.C19.05 Linux Server Population sample and Query</t>
  </si>
  <si>
    <t xml:space="preserve">C19-04</t>
  </si>
  <si>
    <t xml:space="preserve">Windows: screenshot of the BigFix action configured to deploy the CrowdStrike Windows Sensor to servers when the agent is not found (status, targeting, never-expires) and the server image / boot sequence showing the sensor installed.</t>
  </si>
  <si>
    <t xml:space="preserve">Select a methodology-based sample of Windows and Linux servers from the validated population and inspect evidence that Endpoint Protection (CrowdStrike) was installed as part of the server build, imaging, or provisioning process. Verify the implementation aligns with the documented server build process or build automation procedures.</t>
  </si>
  <si>
    <t xml:space="preserve">BSI.IT.10.C19.03 Testing to show CS agent install</t>
  </si>
  <si>
    <t xml:space="preserve">C19-05</t>
  </si>
  <si>
    <t xml:space="preserve">For each new-server sample selected by IT RCSA (Windows and Linux): Falcon console host-detail screenshot or command output (systemctl status falcon-sensor; /opt/CrowdStrike/falconctl -g --version --rfm-state) showing sensor installed and running, with first-seen date compared to server creation date.</t>
  </si>
  <si>
    <t xml:space="preserve">Inspect the sampled server population and verify CrowdStrike agent installation is present and active on the selected servers. For servers without CrowdStrike installed, determine whether the condition represents an approved exception or a deviation from the control requirements.</t>
  </si>
  <si>
    <t xml:space="preserve">C19-06</t>
  </si>
  <si>
    <t xml:space="preserve">CrowdStrike Falcon prevention policy applied to BSI servers showing malware detection/prevention enabled.</t>
  </si>
  <si>
    <t xml:space="preserve">C19-07</t>
  </si>
  <si>
    <t xml:space="preserve">List of servers without CrowdStrike or with protection disabled/excluded during the Coverage Period, with CISO (or delegate) approval.</t>
  </si>
  <si>
    <t xml:space="preserve">Inspect servers identified without malware protection and verify any exceptions were formally documented, supported by business justification, and approved by the CISO or designated delegate in accordance with the control requirements.</t>
  </si>
  <si>
    <t xml:space="preserve">C19-08</t>
  </si>
  <si>
    <t xml:space="preserve">Tickets for servers identified without Endpoint Protection and lacking an approved exception, showing escalation to the responsible support group and remediation.</t>
  </si>
  <si>
    <t xml:space="preserve">For servers identified without Endpoint Protection and lacking an approved exception, verify the issue was documented, escalated to the responsible support group, tracked through remediation activities, and resolved or otherwise addressed through the approved exception process.</t>
  </si>
  <si>
    <t xml:space="preserve">SBNA.IT.10.C14</t>
  </si>
  <si>
    <t xml:space="preserve">[SBNA.IT.10.C14 MDM Config] In every operation, Mobile Device Management (MDM) is configured on company owned mobile phones and BYOD (smartphones and tablets) prior to allowing access to the company's network and/or systems. Phones without MDM are not able to access company networks or resources.</t>
  </si>
  <si>
    <t xml:space="preserve">C14-01</t>
  </si>
  <si>
    <t xml:space="preserve">Mobile Device Security Standard / MDM configuration baseline in effect for the Coverage Period, and confirmation of entities in scope (SBNA, SC, BSI, BSNY, SANCAP) and BYOD participation (BSI excluded from BYOD).</t>
  </si>
  <si>
    <t xml:space="preserve">Obtain the mobile device security standard / MDM baseline, Intune configuration, compliance and app protection policies (corporate and BYOD), Conditional Access policies, MDM server role/certificate configuration and the Intune registered-device export.</t>
  </si>
  <si>
    <t xml:space="preserve">Jean Paul Merymo</t>
  </si>
  <si>
    <t xml:space="preserve">C14-02</t>
  </si>
  <si>
    <t xml:space="preserve">Completeness &amp; accuracy of the Intune export: screenshot of the Intune admin center device count (Devices &gt; All devices, with the same filters/scope tags) agreeing to the export record count, and the scope tags used for in-scope entities.</t>
  </si>
  <si>
    <t xml:space="preserve">Inspect the Intune device export and validate completeness and accuracy by agreeing the record count and filters/scope tags to the Intune admin center and tracing selected records to the console. Verify the export contains ownership, compliance, encryption and jailbreak attributes.</t>
  </si>
  <si>
    <t xml:space="preserve">C14-03</t>
  </si>
  <si>
    <t xml:space="preserve">Intune export of ALL registered mobile devices as of the request date: device owner, ownership (Corporate/Personal), enrollment date, device state, OS/version, compliance status, join type, jailbroken, encrypted, management certificate expiration, entity / scope tag.</t>
  </si>
  <si>
    <t xml:space="preserve">Verify the population includes all corporate-owned and BYOD mobile devices for in-scope entities (SBNA, SC, BSI, BSNY, SANCAP) and that no devices are excluded from MDM scope without justification.</t>
  </si>
  <si>
    <t xml:space="preserve">SBNA.IT.10.C14.08 INTUNE Data.xlsx</t>
  </si>
  <si>
    <t xml:space="preserve">C14-04</t>
  </si>
  <si>
    <t xml:space="preserve">Corporate-owned devices - Intune admin center screenshots of: (1.1) Company Portal cannot be uninstalled / unenrollment blocked; (1.2) corporate passcode policy; (1.3) jailbreak/root block; (1.4) auto-wipe after 10 failed logons, jailbroken, lost/stolen (Lost Mode); (1.5) lock after 5 minutes of inactivity; (1.6) app protection - block AirDrop, prevent backups, block saving copies, restrict printing and web content transfer; (1.7) minimum OS version compliance; (1.8) data-in-transit encryption; (1.9) data-at-rest encryption; (1.10) serial number / IMEI in Apple Business Manager / Intune; (1.11) block App Store; (1.12) Apple ID modification, FaceTime and iMessage blocked.</t>
  </si>
  <si>
    <t xml:space="preserve">Inspect the Intune configuration and verify required security settings are configured and assigned for corporate-owned devices, BYOD devices and the MDM server (automated control - test configuration).</t>
  </si>
  <si>
    <t xml:space="preserve">SBNA.IT.10.C14.04 Test Results Tabs 1.1-1.12</t>
  </si>
  <si>
    <t xml:space="preserve">C14-05</t>
  </si>
  <si>
    <t xml:space="preserve">BYOD devices (iOS and Android) - Intune screenshots of: (2.1) jailbreak/root block; (2.2) app protection - prevent moving/copy-paste of company data outside the managed area, block AirDrop/printing/Mail Drop, block opening data into org documents; (2.3) selective wipe of container for jailbroken and lost/stolen devices; (2.4) DLP - save-copies, receive-data and cut/copy/paste restrictions; (2.5) managed-area access requirements; (2.6) device metadata logged; (2.7) minimum OS version compliance; (2.8) data-in-transit and (2.9) data-at-rest encryption; (2.10) BYOD passcode policy.</t>
  </si>
  <si>
    <t xml:space="preserve">SBNA.IT.10.C14.04 Test Results Tabs 2.1-2.10</t>
  </si>
  <si>
    <t xml:space="preserve">C14-06</t>
  </si>
  <si>
    <t xml:space="preserve">MDM server - (3.1) Intune Device Actions report / audit log for the Coverage Period; (3.2) Intune RBAC role assignments and membership of the Intune Helpdesk and MDM Admin groups as of the request date; (3.3) SCEP and Wi-Fi certificate configuration profiles.</t>
  </si>
  <si>
    <t xml:space="preserve">SBNA.IT.10.C14.04 Tabs 3.1-3.2; C14.05 / C14.06 group listings; C14.07 iOS Wi-Fi</t>
  </si>
  <si>
    <t xml:space="preserve">C14-07</t>
  </si>
  <si>
    <t xml:space="preserve">Entra ID (Azure AD) Conditional Access policy(ies) requiring a compliant / MDM-enrolled device or approved app protection policy before access to corporate resources (Exchange Online, Teams, SharePoint/OneDrive, VPN/Wi-Fi), with assignments and grant controls visible; plus a sign-in log sample showing a non-compliant/unenrolled device being blocked.</t>
  </si>
  <si>
    <t xml:space="preserve">Verify devices that do not meet MDM/compliance requirements cannot access company networks or resources (Conditional Access) and that registered devices reflect the required compliance, encryption and jailbreak status.</t>
  </si>
  <si>
    <t xml:space="preserve">New for 2026 - 'phones without MDM are not able to access' attribute</t>
  </si>
  <si>
    <t xml:space="preserve">C14-08</t>
  </si>
  <si>
    <t xml:space="preserve">Explanation and supporting evidence for any devices shown as non-compliant, not encrypted, or outside the expected scope tag in the export (e.g., devices in initial setup, test devices, devices incorrectly tagged MOB_US), including status of the 2025 scope-tag clean-up request.</t>
  </si>
  <si>
    <t xml:space="preserve">Inspect non-compliant, unencrypted or out-of-scope devices and verify each is explained, documented and, where applicable, approved.</t>
  </si>
  <si>
    <t xml:space="preserve">SBNA.IT.10.C14.09 Clarification of Evidences - MDM Encryption.zip</t>
  </si>
  <si>
    <t xml:space="preserve">C14-09</t>
  </si>
  <si>
    <t xml:space="preserve">Intune audit log of changes to compliance, configuration, app protection and Conditional Access policies during the Coverage Period, with related change tickets/approvals and escalation of any deviations.</t>
  </si>
  <si>
    <t xml:space="preserve">For identified deviations, verify issues were escalated, tracked and resolved, and that changes to MDM policies during the period were approved.</t>
  </si>
  <si>
    <t xml:space="preserve">Test Script Alignment - 2026 NewTest Script steps vs DRL requests</t>
  </si>
  <si>
    <t xml:space="preserve">Every step 1-7 must have at least one DRL request (# DRL Requests &gt; 0). Steps 8-9 are tester conclusions (risk mitigation and coverage summary) and need no evidence from the control owner.</t>
  </si>
  <si>
    <t xml:space="preserve">Script Source</t>
  </si>
  <si>
    <t xml:space="preserve">Step</t>
  </si>
  <si>
    <t xml:space="preserve">Test Script Procedure</t>
  </si>
  <si>
    <t xml:space="preserve"># DRL Requests</t>
  </si>
  <si>
    <t xml:space="preserve">Alignment Check</t>
  </si>
  <si>
    <t xml:space="preserve">Tailored - adapted from BSI.IT.10.C10 Vendor Defaults DB (New test scripts row 76)</t>
  </si>
  <si>
    <t xml:space="preserve">8. Assess Risk Mitigation</t>
  </si>
  <si>
    <t xml:space="preserve">Assess whether changing vendor default credentials before production use reasonably mitigates the risk of unauthorized access through known default accounts and passwords.</t>
  </si>
  <si>
    <t xml:space="preserve">Tester conclusion - no request needed</t>
  </si>
  <si>
    <t xml:space="preserve">9. Summarize Testing Coverage</t>
  </si>
  <si>
    <t xml:space="preserve">Summarize testing performed over hardening-guide governance, report reliability, population completeness, default-credential changes and timing, exception management and remediation activities.</t>
  </si>
  <si>
    <t xml:space="preserve">Tailored - 9-step NewTest Script format (no row in Test Plan)</t>
  </si>
  <si>
    <t xml:space="preserve">Assess whether automated encryption of endpoints before assignment reasonably mitigates the risk of data exposure from lost or stolen user computers.</t>
  </si>
  <si>
    <t xml:space="preserve">Summarize testing performed over report reliability, population completeness, automated encryption configuration, approved algorithms/lengths, exception management and remediation.</t>
  </si>
  <si>
    <t xml:space="preserve">Exact - SBNA.IT.10.C13 Config Authentication (New test scripts row 79, identical statement)</t>
  </si>
  <si>
    <t xml:space="preserve">Assess whether implemented authentication configurations reasonably mitigate the risk of unauthorized access by enforcing strong password and authentication requirements across in-scope operating systems.</t>
  </si>
  <si>
    <t xml:space="preserve">Summarize testing performed over report reliability, population completeness, authentication configuration implementation, exception management, remediation activities, and alignment with the Authentication and Authorization Standard.</t>
  </si>
  <si>
    <t xml:space="preserve">Tailored - adapted from SBNA.IT.10.C19 Server Protection (New test scripts row 81)</t>
  </si>
  <si>
    <t xml:space="preserve">Assess whether installing Endpoint Protection on user computers upon imaging reasonably mitigates the risk of malicious software on the user computer population.</t>
  </si>
  <si>
    <t xml:space="preserve">Summarize testing performed over inventory completeness, report reliability, automated deployment, detect-and-quarantine configuration, exception governance and remediation.</t>
  </si>
  <si>
    <t xml:space="preserve">Exact - SBNA.IT.10.C19 Server Protection (New test scripts row 81, identical statement)</t>
  </si>
  <si>
    <t xml:space="preserve">Assess whether the installation of Endpoint Protection on newly built servers reasonably mitigates the risk of malicious software by providing malware detection capabilities across the in-scope server population.</t>
  </si>
  <si>
    <t xml:space="preserve">Summarize testing performed over CMDB inventory completeness, report reliability, server population coverage, Endpoint Protection implementation, exception governance, remediation activities, and alignment with server protection requirements.</t>
  </si>
  <si>
    <t xml:space="preserve">Assess whether MDM configuration and access enforcement reasonably mitigate the risk of insecure mobile devices accessing company data and systems.</t>
  </si>
  <si>
    <t xml:space="preserve">Summarize testing performed over configuration of corporate/BYOD/MDM server settings, access enforcement, population completeness, report reliability, exceptions and remediation.</t>
  </si>
  <si>
    <t xml:space="preserve">DRL Summary by Control</t>
  </si>
  <si>
    <t xml:space="preserve">Control Name</t>
  </si>
  <si>
    <t xml:space="preserve">Heracles ID</t>
  </si>
  <si>
    <t xml:space="preserve">Nature</t>
  </si>
  <si>
    <t xml:space="preserve">Inherent Risk</t>
  </si>
  <si>
    <t xml:space="preserve">Test Script Source</t>
  </si>
  <si>
    <t xml:space="preserve"># Requests</t>
  </si>
  <si>
    <t xml:space="preserve"># Provided / Closed</t>
  </si>
  <si>
    <t xml:space="preserve"># Open</t>
  </si>
  <si>
    <t xml:space="preserve">Vendor Defaults</t>
  </si>
  <si>
    <t xml:space="preserve">Hybrid / Semi-Automated</t>
  </si>
  <si>
    <t xml:space="preserve">High</t>
  </si>
  <si>
    <t xml:space="preserve">Encrypt Endpoint Device</t>
  </si>
  <si>
    <t xml:space="preserve">Automated</t>
  </si>
  <si>
    <t xml:space="preserve">Config Authentication</t>
  </si>
  <si>
    <t xml:space="preserve">Endpoint Protection</t>
  </si>
  <si>
    <t xml:space="preserve">Server Protection</t>
  </si>
  <si>
    <t xml:space="preserve">MDM Config</t>
  </si>
  <si>
    <t xml:space="preserve">Moderate</t>
  </si>
  <si>
    <t xml:space="preserve">Total</t>
  </si>
  <si>
    <t xml:space="preserve">Coverage Period Calculation - 2026 IT RCSA Cycle 1 (scheduled 05/04/2026 - 06/12/2026)</t>
  </si>
  <si>
    <t xml:space="preserve">Rule (RCSA Testing Procedure (CUSO) 07.17.2026, s.4.4.2 Population and Sampling): Annual tests = 12-month population timeframe; Semi-Annual tests = 6-month timeframe. The start date is the day after the last day of the previous testing timeframe (2025 WP2 &gt; Control Performance Assessment &gt; Population Timeframe).</t>
  </si>
  <si>
    <t xml:space="preserve">Yellow cells are inputs - edit the Prior Timeframe End Date or Months and the coverage period (and the DRL tab) recalculate. Shaded rows need confirmation (see Notes).</t>
  </si>
  <si>
    <t xml:space="preserve">2025 WP2 Population Timeframe</t>
  </si>
  <si>
    <t xml:space="preserve">2025 WP2 Test Date</t>
  </si>
  <si>
    <t xml:space="preserve">Last GRC Assessment (Rating)</t>
  </si>
  <si>
    <t xml:space="preserve">Prior Timeframe End Date</t>
  </si>
  <si>
    <t xml:space="preserve">2026 Assessment Testing Frequency</t>
  </si>
  <si>
    <t xml:space="preserve">Months in Timeframe</t>
  </si>
  <si>
    <t xml:space="preserve">Coverage Start</t>
  </si>
  <si>
    <t xml:space="preserve">Coverage End</t>
  </si>
  <si>
    <t xml:space="preserve">Notes</t>
  </si>
  <si>
    <t xml:space="preserve">10/1/2024 - 6/30/2025</t>
  </si>
  <si>
    <t xml:space="preserve">07/10/2025</t>
  </si>
  <si>
    <t xml:space="preserve">12/22/2025 (Satisfactory)</t>
  </si>
  <si>
    <t xml:space="preserve">Annual</t>
  </si>
  <si>
    <t xml:space="preserve">CONFIRM: WP2 provided is 2025 Cycle 1 (test date 7/10/2025). GRC shows a later assessment on 12/22/2025 (2025 Cycle 2, remaining samples). If that Cycle 2 population ran past 6/30/2025, change the Prior Timeframe End Date to its end date - coverage recalculates. 2026 statement now scopes to OS root/administrator accounts only; Oracle/SQL DB defaults tested in 2025 now sit under BSI.IT.10.C10.</t>
  </si>
  <si>
    <t xml:space="preserve">10/1/2024 - 5/31/2025</t>
  </si>
  <si>
    <t xml:space="preserve">07/09/2025</t>
  </si>
  <si>
    <t xml:space="preserve">07/15/2025 (Strong)</t>
  </si>
  <si>
    <t xml:space="preserve">2026 statement changed from 2025 ('during the imaging process (Windows) or assignment (MAC)') to 'prior to assigning a user a computer ... approved encryption algorithms and lengths' - request now includes the assignment-date attribute and the approved-algorithm standard.</t>
  </si>
  <si>
    <t xml:space="preserve">10/01/2024 - 7/4/2025</t>
  </si>
  <si>
    <t xml:space="preserve">12/19/2025 (Weak - Ineffective)</t>
  </si>
  <si>
    <t xml:space="preserve">Semi-Annual</t>
  </si>
  <si>
    <t xml:space="preserve">CONFIRM: Control is Semi-Annual (Weak on 12/19/2025) with open Action Driver 005056BCA24E1FD0B4A6A1173BF00BA4 (target 9/30/2026). Per RCSA Testing Procedure s.4.1.3, CPA cannot be performed while an AD is open - confirm with Testing Manager whether this is CPA or sustainability testing. WP2 provided is 2025 Cycle 1; if the 12/19/2025 Cycle 2 population ran past 7/4/2025, update the Prior Timeframe End Date.</t>
  </si>
  <si>
    <t xml:space="preserve">10/1/2024 - 7/4/2025</t>
  </si>
  <si>
    <t xml:space="preserve">07/01/2025</t>
  </si>
  <si>
    <t xml:space="preserve">08/06/2025 (Strong)</t>
  </si>
  <si>
    <t xml:space="preserve">Coverage end (7/4/2026) falls after the Cycle 1 window (5/4/2026 - 6/12/2026): population is pulled through the date of the request; any remaining days roll into the next timeframe.</t>
  </si>
  <si>
    <t xml:space="preserve">08/14/2025 (Satisfactory)</t>
  </si>
  <si>
    <t xml:space="preserve">06/06/2025</t>
  </si>
  <si>
    <t xml:space="preserve">07/02/2025 (Satisfactory)</t>
  </si>
  <si>
    <t xml:space="preserve">Entities in scope: SBNA, SC, BSI, BSNY, SANCAP. BSI does not participate in BYOD (per 2025 WP2).</t>
  </si>
  <si>
    <t xml:space="preserve">Sources Used to Build the DRL</t>
  </si>
  <si>
    <t xml:space="preserve">2026 Control Statement Source</t>
  </si>
  <si>
    <t xml:space="preserve">Test Script Source (IT RCSA 2026 Test Plan &gt; New test scripts)</t>
  </si>
  <si>
    <t xml:space="preserve">Prior Evidence Source</t>
  </si>
  <si>
    <t xml:space="preserve">Coverage Period Source</t>
  </si>
  <si>
    <t xml:space="preserve">IT RCSA 2026 Test Plan &gt; Control Inventory (Control Description), agrees to Export tab (GRC).</t>
  </si>
  <si>
    <t xml:space="preserve">Tailored - adapted from BSI.IT.10.C10 Vendor Defaults DB (New test scripts row 76). No exact match in 'New test scripts'. Script structure taken from BSI.IT.10.C10 Vendor Defaults DB (row 76) - same Vendor Defaults family - and tailored to OS root/administrator accounts.</t>
  </si>
  <si>
    <t xml:space="preserve">WP2 BSI.IT.10.C11 Vendor Defaults.xlsm &gt; Control Performance Assessment (Test Procedure, Summary of Results, Supporting Evidence per Attribute).</t>
  </si>
  <si>
    <t xml:space="preserve">WP2 Population Timeframe 10/1/2024 - 6/30/2025 + RCSA Testing Procedure (CUSO) 07.17.2026 s.4.4.2; frequency from 2026 Test Plan Export tab (Annual).</t>
  </si>
  <si>
    <t xml:space="preserve">Tailored - 9-step NewTest Script format (no row in Test Plan). No exact or analog match in 'New test scripts'. Requests follow the standard 9-step NewTest Script structure (Obtain Evidence &gt; Report C&amp;A &gt; Population &gt; Execution &gt; Results &gt; Exceptions &gt; Escalation).</t>
  </si>
  <si>
    <t xml:space="preserve">WP2 BSI.IT.10.C12 Encrypt Endpoint Device.xlsm &gt; Control Performance Assessment (Test Procedure, Summary of Results, Supporting Evidence per Attribute).</t>
  </si>
  <si>
    <t xml:space="preserve">WP2 Population Timeframe 10/1/2024 - 5/31/2025 + RCSA Testing Procedure (CUSO) 07.17.2026 s.4.4.2; frequency from 2026 Test Plan Export tab (Annual).</t>
  </si>
  <si>
    <t xml:space="preserve">Exact - SBNA.IT.10.C13 Config Authentication (New test scripts row 79, identical statement). Matched to SBNA.IT.10.C13 Config Authentication (row 79) - identical control statement for the SBNA entity.</t>
  </si>
  <si>
    <t xml:space="preserve">WP2 BSI.IT.10.C13 Config Authentication.xlsm &gt; Control Performance Assessment (Test Procedure, Summary of Results, Supporting Evidence per Attribute).</t>
  </si>
  <si>
    <t xml:space="preserve">WP2 Population Timeframe 10/01/2024 - 7/4/2025 + RCSA Testing Procedure (CUSO) 07.17.2026 s.4.4.2; frequency from 2026 Test Plan Export tab (Semi-Annual).</t>
  </si>
  <si>
    <t xml:space="preserve">Tailored - adapted from SBNA.IT.10.C19 Server Protection (New test scripts row 81). No exact match in 'New test scripts'. Script structure adapted from SBNA.IT.10.C19 Server Protection (row 81) - same CrowdStrike / BigFix endpoint protection mechanism, applied to user computers.</t>
  </si>
  <si>
    <t xml:space="preserve">WP2 BSI.IT.10.C18 Endpoint Protection.xlsm &gt; Control Performance Assessment (Test Procedure, Summary of Results, Supporting Evidence per Attribute).</t>
  </si>
  <si>
    <t xml:space="preserve">WP2 Population Timeframe 10/1/2024 - 7/4/2025 + RCSA Testing Procedure (CUSO) 07.17.2026 s.4.4.2; frequency from 2026 Test Plan Export tab (Annual).</t>
  </si>
  <si>
    <t xml:space="preserve">Exact - SBNA.IT.10.C19 Server Protection (New test scripts row 81, identical statement). Matched to SBNA.IT.10.C19 Server Protection (row 81) - identical control statement for the SBNA entity.</t>
  </si>
  <si>
    <t xml:space="preserve">WP2 BSI.IT.10.C19 Server Protection.xlsm &gt; Control Performance Assessment (Test Procedure, Summary of Results, Supporting Evidence per Attribute).</t>
  </si>
  <si>
    <t xml:space="preserve">WP2 Population Timeframe 10/01/2024 - 7/4/2025 + RCSA Testing Procedure (CUSO) 07.17.2026 s.4.4.2; frequency from 2026 Test Plan Export tab (Annual).</t>
  </si>
  <si>
    <t xml:space="preserve">Tailored - 9-step NewTest Script format (no row in Test Plan). No exact or analog match in 'New test scripts' (SBNA.IT.5.C11b MDM Access Mgmt is a different access-management control). Requests follow the standard 9-step NewTest Script structure and the 2025 configuration attribute list.</t>
  </si>
  <si>
    <t xml:space="preserve">WP2 SBNA.IT.10.C14 MDM Config.xlsm &gt; Control Performance Assessment (Test Procedure, Summary of Results, Supporting Evidence per Attribute).</t>
  </si>
  <si>
    <t xml:space="preserve">Other references</t>
  </si>
  <si>
    <t xml:space="preserve">RCSA Testing Procedure s.4.4.5 Evidence Request - population and sample requests are sent to the BU BCO / control owner via the DRL.</t>
  </si>
  <si>
    <t xml:space="preserve">RCSA Testing Procedure s.4.1.3 - controls with open Action Drivers cannot be tested for CDA/CPA until remediation is complete (applies to BSI.IT.10.C13).</t>
  </si>
  <si>
    <t xml:space="preserve">RCSA Testing Procedure Appendix (Key Reports / IPE) - identify the report and system, document report parameters (date range, system, filters) and confirm they align to the control period and scope; validate completeness and accuracy. This drives the 'Screenshot Requirement' column.</t>
  </si>
  <si>
    <t xml:space="preserve">NewTest Script 9-step structure: 1 Obtain Evidence, 2 Report Completeness &amp; Accuracy, 3 Population &amp; Scope, 4 Control Execution, 5 Control Results, 6 Exception Handling, 7 Escalation &amp; Remediation, 8 Risk Mitigation, 9 Testing Coverage.</t>
  </si>
</sst>
</file>

<file path=xl/styles.xml><?xml version="1.0" encoding="utf-8"?>
<styleSheet xmlns="http://schemas.openxmlformats.org/spreadsheetml/2006/main">
  <numFmts count="2">
    <numFmt numFmtId="164" formatCode="General"/>
    <numFmt numFmtId="165" formatCode="mm/dd/yyyy"/>
  </numFmts>
  <fonts count="16">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C00000"/>
      <name val="Arial"/>
      <family val="0"/>
      <charset val="1"/>
    </font>
    <font>
      <sz val="10"/>
      <color rgb="FFC00000"/>
      <name val="Arial"/>
      <family val="0"/>
      <charset val="1"/>
    </font>
    <font>
      <sz val="10"/>
      <color rgb="FF0000FF"/>
      <name val="Arial"/>
      <family val="0"/>
      <charset val="1"/>
    </font>
    <font>
      <b val="true"/>
      <sz val="10"/>
      <name val="Arial"/>
      <family val="0"/>
      <charset val="1"/>
    </font>
    <font>
      <sz val="10"/>
      <name val="Arial"/>
      <family val="2"/>
    </font>
    <font>
      <sz val="1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5" fontId="12" fillId="3"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center" vertical="top" textRotation="0" wrapText="true" indent="0" shrinkToFit="false"/>
      <protection locked="true" hidden="false"/>
    </xf>
    <xf numFmtId="165" fontId="8" fillId="5" borderId="1" xfId="0" applyFont="true" applyBorder="true" applyAlignment="true" applyProtection="false">
      <alignment horizontal="center" vertical="top" textRotation="0" wrapText="true" indent="0" shrinkToFit="false"/>
      <protection locked="true" hidden="false"/>
    </xf>
    <xf numFmtId="164" fontId="13" fillId="5" borderId="1" xfId="0" applyFont="true" applyBorder="true" applyAlignment="true" applyProtection="false">
      <alignment horizontal="center"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C00000"/>
          <bgColor rgb="FF000000"/>
        </patternFill>
      </fill>
    </dxf>
    <dxf>
      <fill>
        <patternFill patternType="solid">
          <fgColor rgb="FFFFFF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9"/>
    <col collapsed="false" customWidth="true" hidden="false" outlineLevel="0" max="4" min="4" style="0" width="60"/>
    <col collapsed="false" customWidth="true" hidden="false" outlineLevel="0" max="5" min="5" style="0" width="23"/>
    <col collapsed="false" customWidth="true" hidden="false" outlineLevel="0" max="6" min="6" style="0" width="17"/>
    <col collapsed="false" customWidth="true" hidden="false" outlineLevel="0" max="7" min="7" style="0" width="55"/>
    <col collapsed="false" customWidth="true" hidden="false" outlineLevel="0" max="8" min="8" style="0" width="50"/>
    <col collapsed="false" customWidth="true" hidden="false" outlineLevel="0" max="9" min="9" style="0" width="28"/>
    <col collapsed="false" customWidth="true" hidden="false" outlineLevel="0" max="10" min="10" style="0" width="14"/>
    <col collapsed="false" customWidth="true" hidden="false" outlineLevel="0" max="11" min="11" style="0" width="12"/>
    <col collapsed="false" customWidth="true" hidden="false" outlineLevel="0" max="12" min="12" style="0" width="13"/>
    <col collapsed="false" customWidth="true" hidden="false" outlineLevel="0" max="13" min="13" style="0" width="28"/>
  </cols>
  <sheetData>
    <row r="1" customFormat="false" ht="16.15" hidden="false" customHeight="false" outlineLevel="0" collapsed="false">
      <c r="A1" s="1" t="s">
        <v>0</v>
      </c>
    </row>
    <row r="2" customFormat="false" ht="54.75" hidden="false" customHeight="true" outlineLevel="0" collapsed="false">
      <c r="A2" s="2" t="s">
        <v>1</v>
      </c>
      <c r="B2" s="2"/>
      <c r="C2" s="2"/>
      <c r="D2" s="2"/>
      <c r="E2" s="2"/>
      <c r="F2" s="2"/>
      <c r="G2" s="2"/>
      <c r="H2" s="2"/>
      <c r="I2" s="2"/>
      <c r="J2" s="2"/>
      <c r="K2" s="2"/>
      <c r="L2" s="2"/>
      <c r="M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c r="M4" s="3" t="s">
        <v>14</v>
      </c>
    </row>
    <row r="5" customFormat="false" ht="57.45" hidden="false" customHeight="false" outlineLevel="0" collapsed="false">
      <c r="A5" s="4" t="s">
        <v>15</v>
      </c>
      <c r="B5" s="5" t="s">
        <v>16</v>
      </c>
      <c r="C5" s="6" t="s">
        <v>17</v>
      </c>
      <c r="D5" s="5" t="s">
        <v>18</v>
      </c>
      <c r="E5" s="7" t="str">
        <f aca="false">'Coverage Period'!K6</f>
        <v>07/01/2025 - 06/30/2026</v>
      </c>
      <c r="F5" s="6" t="s">
        <v>19</v>
      </c>
      <c r="G5" s="5" t="s">
        <v>20</v>
      </c>
      <c r="H5" s="5" t="s">
        <v>21</v>
      </c>
      <c r="I5" s="5" t="s">
        <v>22</v>
      </c>
      <c r="J5" s="6" t="s">
        <v>23</v>
      </c>
      <c r="K5" s="8"/>
      <c r="L5" s="9"/>
      <c r="M5" s="10"/>
    </row>
    <row r="6" customFormat="false" ht="68.65" hidden="false" customHeight="false" outlineLevel="0" collapsed="false">
      <c r="A6" s="4" t="s">
        <v>15</v>
      </c>
      <c r="B6" s="5" t="s">
        <v>16</v>
      </c>
      <c r="C6" s="6" t="s">
        <v>24</v>
      </c>
      <c r="D6" s="5" t="s">
        <v>25</v>
      </c>
      <c r="E6" s="7" t="str">
        <f aca="false">'Coverage Period'!K6</f>
        <v>07/01/2025 - 06/30/2026</v>
      </c>
      <c r="F6" s="6" t="s">
        <v>26</v>
      </c>
      <c r="G6" s="5" t="s">
        <v>27</v>
      </c>
      <c r="H6" s="11" t="s">
        <v>28</v>
      </c>
      <c r="I6" s="5" t="s">
        <v>29</v>
      </c>
      <c r="J6" s="6" t="s">
        <v>23</v>
      </c>
      <c r="K6" s="8"/>
      <c r="L6" s="9"/>
      <c r="M6" s="10"/>
    </row>
    <row r="7" customFormat="false" ht="113.4" hidden="false" customHeight="false" outlineLevel="0" collapsed="false">
      <c r="A7" s="4" t="s">
        <v>15</v>
      </c>
      <c r="B7" s="5" t="s">
        <v>16</v>
      </c>
      <c r="C7" s="6" t="s">
        <v>30</v>
      </c>
      <c r="D7" s="5" t="s">
        <v>31</v>
      </c>
      <c r="E7" s="7" t="str">
        <f aca="false">'Coverage Period'!K6</f>
        <v>07/01/2025 - 06/30/2026</v>
      </c>
      <c r="F7" s="6" t="s">
        <v>32</v>
      </c>
      <c r="G7" s="5" t="s">
        <v>33</v>
      </c>
      <c r="H7" s="11" t="s">
        <v>34</v>
      </c>
      <c r="I7" s="5" t="s">
        <v>35</v>
      </c>
      <c r="J7" s="6" t="s">
        <v>23</v>
      </c>
      <c r="K7" s="8"/>
      <c r="L7" s="9"/>
      <c r="M7" s="10"/>
    </row>
    <row r="8" customFormat="false" ht="57.45" hidden="false" customHeight="false" outlineLevel="0" collapsed="false">
      <c r="A8" s="4" t="s">
        <v>15</v>
      </c>
      <c r="B8" s="5" t="s">
        <v>16</v>
      </c>
      <c r="C8" s="6" t="s">
        <v>36</v>
      </c>
      <c r="D8" s="5" t="s">
        <v>37</v>
      </c>
      <c r="E8" s="7" t="str">
        <f aca="false">'Coverage Period'!K6</f>
        <v>07/01/2025 - 06/30/2026</v>
      </c>
      <c r="F8" s="6" t="s">
        <v>38</v>
      </c>
      <c r="G8" s="5" t="s">
        <v>39</v>
      </c>
      <c r="H8" s="5" t="s">
        <v>40</v>
      </c>
      <c r="I8" s="5" t="s">
        <v>41</v>
      </c>
      <c r="J8" s="6" t="s">
        <v>23</v>
      </c>
      <c r="K8" s="8"/>
      <c r="L8" s="9"/>
      <c r="M8" s="10"/>
    </row>
    <row r="9" customFormat="false" ht="57.45" hidden="false" customHeight="false" outlineLevel="0" collapsed="false">
      <c r="A9" s="4" t="s">
        <v>15</v>
      </c>
      <c r="B9" s="5" t="s">
        <v>16</v>
      </c>
      <c r="C9" s="6" t="s">
        <v>42</v>
      </c>
      <c r="D9" s="5" t="s">
        <v>43</v>
      </c>
      <c r="E9" s="7" t="str">
        <f aca="false">'Coverage Period'!K6</f>
        <v>07/01/2025 - 06/30/2026</v>
      </c>
      <c r="F9" s="6" t="s">
        <v>38</v>
      </c>
      <c r="G9" s="5" t="s">
        <v>39</v>
      </c>
      <c r="H9" s="5" t="s">
        <v>40</v>
      </c>
      <c r="I9" s="5" t="s">
        <v>44</v>
      </c>
      <c r="J9" s="6" t="s">
        <v>23</v>
      </c>
      <c r="K9" s="8"/>
      <c r="L9" s="9"/>
      <c r="M9" s="10"/>
    </row>
    <row r="10" customFormat="false" ht="57.45" hidden="false" customHeight="false" outlineLevel="0" collapsed="false">
      <c r="A10" s="4" t="s">
        <v>15</v>
      </c>
      <c r="B10" s="5" t="s">
        <v>16</v>
      </c>
      <c r="C10" s="6" t="s">
        <v>45</v>
      </c>
      <c r="D10" s="5" t="s">
        <v>46</v>
      </c>
      <c r="E10" s="7" t="str">
        <f aca="false">'Coverage Period'!K6</f>
        <v>07/01/2025 - 06/30/2026</v>
      </c>
      <c r="F10" s="6" t="s">
        <v>38</v>
      </c>
      <c r="G10" s="5" t="s">
        <v>39</v>
      </c>
      <c r="H10" s="5" t="s">
        <v>40</v>
      </c>
      <c r="I10" s="5" t="s">
        <v>47</v>
      </c>
      <c r="J10" s="6" t="s">
        <v>23</v>
      </c>
      <c r="K10" s="8"/>
      <c r="L10" s="9"/>
      <c r="M10" s="10"/>
    </row>
    <row r="11" customFormat="false" ht="57.45" hidden="false" customHeight="false" outlineLevel="0" collapsed="false">
      <c r="A11" s="4" t="s">
        <v>15</v>
      </c>
      <c r="B11" s="5" t="s">
        <v>16</v>
      </c>
      <c r="C11" s="6" t="s">
        <v>48</v>
      </c>
      <c r="D11" s="5" t="s">
        <v>49</v>
      </c>
      <c r="E11" s="7" t="str">
        <f aca="false">'Coverage Period'!K6</f>
        <v>07/01/2025 - 06/30/2026</v>
      </c>
      <c r="F11" s="6" t="s">
        <v>50</v>
      </c>
      <c r="G11" s="5" t="s">
        <v>51</v>
      </c>
      <c r="H11" s="5" t="s">
        <v>40</v>
      </c>
      <c r="I11" s="5" t="s">
        <v>52</v>
      </c>
      <c r="J11" s="6" t="s">
        <v>23</v>
      </c>
      <c r="K11" s="8"/>
      <c r="L11" s="9"/>
      <c r="M11" s="10"/>
    </row>
    <row r="12" customFormat="false" ht="57.45" hidden="false" customHeight="false" outlineLevel="0" collapsed="false">
      <c r="A12" s="4" t="s">
        <v>15</v>
      </c>
      <c r="B12" s="5" t="s">
        <v>16</v>
      </c>
      <c r="C12" s="6" t="s">
        <v>53</v>
      </c>
      <c r="D12" s="5" t="s">
        <v>54</v>
      </c>
      <c r="E12" s="7" t="str">
        <f aca="false">'Coverage Period'!K6</f>
        <v>07/01/2025 - 06/30/2026</v>
      </c>
      <c r="F12" s="6" t="s">
        <v>55</v>
      </c>
      <c r="G12" s="5" t="s">
        <v>56</v>
      </c>
      <c r="H12" s="5" t="s">
        <v>57</v>
      </c>
      <c r="I12" s="5" t="s">
        <v>58</v>
      </c>
      <c r="J12" s="6" t="s">
        <v>23</v>
      </c>
      <c r="K12" s="8"/>
      <c r="L12" s="9"/>
      <c r="M12" s="10"/>
    </row>
    <row r="13" customFormat="false" ht="57.45" hidden="false" customHeight="false" outlineLevel="0" collapsed="false">
      <c r="A13" s="4" t="s">
        <v>15</v>
      </c>
      <c r="B13" s="5" t="s">
        <v>16</v>
      </c>
      <c r="C13" s="6" t="s">
        <v>59</v>
      </c>
      <c r="D13" s="5" t="s">
        <v>60</v>
      </c>
      <c r="E13" s="7" t="str">
        <f aca="false">'Coverage Period'!K6</f>
        <v>07/01/2025 - 06/30/2026</v>
      </c>
      <c r="F13" s="6" t="s">
        <v>61</v>
      </c>
      <c r="G13" s="5" t="s">
        <v>62</v>
      </c>
      <c r="H13" s="5" t="s">
        <v>57</v>
      </c>
      <c r="I13" s="5" t="s">
        <v>63</v>
      </c>
      <c r="J13" s="6" t="s">
        <v>23</v>
      </c>
      <c r="K13" s="8"/>
      <c r="L13" s="9"/>
      <c r="M13" s="10"/>
    </row>
    <row r="14" customFormat="false" ht="57.45" hidden="false" customHeight="false" outlineLevel="0" collapsed="false">
      <c r="A14" s="4" t="s">
        <v>64</v>
      </c>
      <c r="B14" s="5" t="s">
        <v>65</v>
      </c>
      <c r="C14" s="6" t="s">
        <v>66</v>
      </c>
      <c r="D14" s="5" t="s">
        <v>67</v>
      </c>
      <c r="E14" s="7" t="str">
        <f aca="false">'Coverage Period'!K7</f>
        <v>06/01/2025 - 05/31/2026</v>
      </c>
      <c r="F14" s="6" t="s">
        <v>19</v>
      </c>
      <c r="G14" s="5" t="s">
        <v>68</v>
      </c>
      <c r="H14" s="5" t="s">
        <v>21</v>
      </c>
      <c r="I14" s="5" t="s">
        <v>69</v>
      </c>
      <c r="J14" s="6" t="s">
        <v>70</v>
      </c>
      <c r="K14" s="8"/>
      <c r="L14" s="9"/>
      <c r="M14" s="10"/>
    </row>
    <row r="15" customFormat="false" ht="57.45" hidden="false" customHeight="false" outlineLevel="0" collapsed="false">
      <c r="A15" s="4" t="s">
        <v>64</v>
      </c>
      <c r="B15" s="5" t="s">
        <v>65</v>
      </c>
      <c r="C15" s="6" t="s">
        <v>71</v>
      </c>
      <c r="D15" s="5" t="s">
        <v>72</v>
      </c>
      <c r="E15" s="7" t="str">
        <f aca="false">'Coverage Period'!K7</f>
        <v>06/01/2025 - 05/31/2026</v>
      </c>
      <c r="F15" s="6" t="s">
        <v>19</v>
      </c>
      <c r="G15" s="5" t="s">
        <v>68</v>
      </c>
      <c r="H15" s="5" t="s">
        <v>21</v>
      </c>
      <c r="I15" s="5" t="s">
        <v>73</v>
      </c>
      <c r="J15" s="6" t="s">
        <v>70</v>
      </c>
      <c r="K15" s="8"/>
      <c r="L15" s="9"/>
      <c r="M15" s="10"/>
    </row>
    <row r="16" customFormat="false" ht="68.65" hidden="false" customHeight="false" outlineLevel="0" collapsed="false">
      <c r="A16" s="4" t="s">
        <v>64</v>
      </c>
      <c r="B16" s="5" t="s">
        <v>65</v>
      </c>
      <c r="C16" s="6" t="s">
        <v>74</v>
      </c>
      <c r="D16" s="5" t="s">
        <v>75</v>
      </c>
      <c r="E16" s="7" t="str">
        <f aca="false">'Coverage Period'!K7</f>
        <v>06/01/2025 - 05/31/2026</v>
      </c>
      <c r="F16" s="6" t="s">
        <v>26</v>
      </c>
      <c r="G16" s="5" t="s">
        <v>76</v>
      </c>
      <c r="H16" s="11" t="s">
        <v>28</v>
      </c>
      <c r="I16" s="5" t="s">
        <v>77</v>
      </c>
      <c r="J16" s="6" t="s">
        <v>70</v>
      </c>
      <c r="K16" s="8"/>
      <c r="L16" s="9"/>
      <c r="M16" s="10"/>
    </row>
    <row r="17" customFormat="false" ht="113.4" hidden="false" customHeight="false" outlineLevel="0" collapsed="false">
      <c r="A17" s="4" t="s">
        <v>64</v>
      </c>
      <c r="B17" s="5" t="s">
        <v>65</v>
      </c>
      <c r="C17" s="6" t="s">
        <v>78</v>
      </c>
      <c r="D17" s="5" t="s">
        <v>79</v>
      </c>
      <c r="E17" s="7" t="str">
        <f aca="false">'Coverage Period'!K7</f>
        <v>06/01/2025 - 05/31/2026</v>
      </c>
      <c r="F17" s="6" t="s">
        <v>32</v>
      </c>
      <c r="G17" s="5" t="s">
        <v>80</v>
      </c>
      <c r="H17" s="11" t="s">
        <v>34</v>
      </c>
      <c r="I17" s="5" t="s">
        <v>81</v>
      </c>
      <c r="J17" s="6" t="s">
        <v>70</v>
      </c>
      <c r="K17" s="8"/>
      <c r="L17" s="9"/>
      <c r="M17" s="10"/>
    </row>
    <row r="18" customFormat="false" ht="79.85" hidden="false" customHeight="false" outlineLevel="0" collapsed="false">
      <c r="A18" s="4" t="s">
        <v>64</v>
      </c>
      <c r="B18" s="5" t="s">
        <v>65</v>
      </c>
      <c r="C18" s="6" t="s">
        <v>82</v>
      </c>
      <c r="D18" s="5" t="s">
        <v>83</v>
      </c>
      <c r="E18" s="7" t="str">
        <f aca="false">'Coverage Period'!K7</f>
        <v>06/01/2025 - 05/31/2026</v>
      </c>
      <c r="F18" s="6" t="s">
        <v>38</v>
      </c>
      <c r="G18" s="5" t="s">
        <v>84</v>
      </c>
      <c r="H18" s="5" t="s">
        <v>85</v>
      </c>
      <c r="I18" s="5" t="s">
        <v>86</v>
      </c>
      <c r="J18" s="6" t="s">
        <v>70</v>
      </c>
      <c r="K18" s="8"/>
      <c r="L18" s="9"/>
      <c r="M18" s="10"/>
    </row>
    <row r="19" customFormat="false" ht="79.85" hidden="false" customHeight="false" outlineLevel="0" collapsed="false">
      <c r="A19" s="4" t="s">
        <v>64</v>
      </c>
      <c r="B19" s="5" t="s">
        <v>65</v>
      </c>
      <c r="C19" s="6" t="s">
        <v>87</v>
      </c>
      <c r="D19" s="5" t="s">
        <v>88</v>
      </c>
      <c r="E19" s="7" t="str">
        <f aca="false">'Coverage Period'!K7</f>
        <v>06/01/2025 - 05/31/2026</v>
      </c>
      <c r="F19" s="6" t="s">
        <v>38</v>
      </c>
      <c r="G19" s="5" t="s">
        <v>84</v>
      </c>
      <c r="H19" s="5" t="s">
        <v>85</v>
      </c>
      <c r="I19" s="5" t="s">
        <v>86</v>
      </c>
      <c r="J19" s="6" t="s">
        <v>70</v>
      </c>
      <c r="K19" s="8"/>
      <c r="L19" s="9"/>
      <c r="M19" s="10"/>
    </row>
    <row r="20" customFormat="false" ht="57.45" hidden="false" customHeight="false" outlineLevel="0" collapsed="false">
      <c r="A20" s="4" t="s">
        <v>64</v>
      </c>
      <c r="B20" s="5" t="s">
        <v>65</v>
      </c>
      <c r="C20" s="6" t="s">
        <v>89</v>
      </c>
      <c r="D20" s="5" t="s">
        <v>90</v>
      </c>
      <c r="E20" s="7" t="str">
        <f aca="false">'Coverage Period'!K7</f>
        <v>06/01/2025 - 05/31/2026</v>
      </c>
      <c r="F20" s="6" t="s">
        <v>50</v>
      </c>
      <c r="G20" s="5" t="s">
        <v>91</v>
      </c>
      <c r="H20" s="5" t="s">
        <v>40</v>
      </c>
      <c r="I20" s="5" t="s">
        <v>92</v>
      </c>
      <c r="J20" s="6" t="s">
        <v>70</v>
      </c>
      <c r="K20" s="8"/>
      <c r="L20" s="9"/>
      <c r="M20" s="10"/>
    </row>
    <row r="21" customFormat="false" ht="57.45" hidden="false" customHeight="false" outlineLevel="0" collapsed="false">
      <c r="A21" s="4" t="s">
        <v>64</v>
      </c>
      <c r="B21" s="5" t="s">
        <v>65</v>
      </c>
      <c r="C21" s="6" t="s">
        <v>93</v>
      </c>
      <c r="D21" s="5" t="s">
        <v>94</v>
      </c>
      <c r="E21" s="7" t="str">
        <f aca="false">'Coverage Period'!K7</f>
        <v>06/01/2025 - 05/31/2026</v>
      </c>
      <c r="F21" s="6" t="s">
        <v>55</v>
      </c>
      <c r="G21" s="5" t="s">
        <v>95</v>
      </c>
      <c r="H21" s="5" t="s">
        <v>57</v>
      </c>
      <c r="I21" s="5" t="s">
        <v>58</v>
      </c>
      <c r="J21" s="6" t="s">
        <v>70</v>
      </c>
      <c r="K21" s="8"/>
      <c r="L21" s="9"/>
      <c r="M21" s="10"/>
    </row>
    <row r="22" customFormat="false" ht="57.45" hidden="false" customHeight="false" outlineLevel="0" collapsed="false">
      <c r="A22" s="4" t="s">
        <v>64</v>
      </c>
      <c r="B22" s="5" t="s">
        <v>65</v>
      </c>
      <c r="C22" s="6" t="s">
        <v>96</v>
      </c>
      <c r="D22" s="5" t="s">
        <v>97</v>
      </c>
      <c r="E22" s="7" t="str">
        <f aca="false">'Coverage Period'!K7</f>
        <v>06/01/2025 - 05/31/2026</v>
      </c>
      <c r="F22" s="6" t="s">
        <v>61</v>
      </c>
      <c r="G22" s="5" t="s">
        <v>98</v>
      </c>
      <c r="H22" s="5" t="s">
        <v>57</v>
      </c>
      <c r="I22" s="5" t="s">
        <v>99</v>
      </c>
      <c r="J22" s="6" t="s">
        <v>70</v>
      </c>
      <c r="K22" s="8"/>
      <c r="L22" s="9"/>
      <c r="M22" s="10"/>
    </row>
    <row r="23" customFormat="false" ht="79.85" hidden="false" customHeight="false" outlineLevel="0" collapsed="false">
      <c r="A23" s="4" t="s">
        <v>100</v>
      </c>
      <c r="B23" s="5" t="s">
        <v>101</v>
      </c>
      <c r="C23" s="6" t="s">
        <v>102</v>
      </c>
      <c r="D23" s="5" t="s">
        <v>103</v>
      </c>
      <c r="E23" s="7" t="str">
        <f aca="false">'Coverage Period'!K8</f>
        <v>07/05/2025 - 01/04/2026</v>
      </c>
      <c r="F23" s="6" t="s">
        <v>19</v>
      </c>
      <c r="G23" s="5" t="s">
        <v>104</v>
      </c>
      <c r="H23" s="5" t="s">
        <v>21</v>
      </c>
      <c r="I23" s="5" t="s">
        <v>105</v>
      </c>
      <c r="J23" s="6" t="s">
        <v>23</v>
      </c>
      <c r="K23" s="8"/>
      <c r="L23" s="9"/>
      <c r="M23" s="10"/>
    </row>
    <row r="24" customFormat="false" ht="79.85" hidden="false" customHeight="false" outlineLevel="0" collapsed="false">
      <c r="A24" s="4" t="s">
        <v>100</v>
      </c>
      <c r="B24" s="5" t="s">
        <v>101</v>
      </c>
      <c r="C24" s="6" t="s">
        <v>106</v>
      </c>
      <c r="D24" s="5" t="s">
        <v>107</v>
      </c>
      <c r="E24" s="7" t="str">
        <f aca="false">'Coverage Period'!K8</f>
        <v>07/05/2025 - 01/04/2026</v>
      </c>
      <c r="F24" s="6" t="s">
        <v>26</v>
      </c>
      <c r="G24" s="5" t="s">
        <v>108</v>
      </c>
      <c r="H24" s="11" t="s">
        <v>28</v>
      </c>
      <c r="I24" s="5" t="s">
        <v>29</v>
      </c>
      <c r="J24" s="6" t="s">
        <v>23</v>
      </c>
      <c r="K24" s="8"/>
      <c r="L24" s="9"/>
      <c r="M24" s="10"/>
    </row>
    <row r="25" customFormat="false" ht="113.4" hidden="false" customHeight="false" outlineLevel="0" collapsed="false">
      <c r="A25" s="4" t="s">
        <v>100</v>
      </c>
      <c r="B25" s="5" t="s">
        <v>101</v>
      </c>
      <c r="C25" s="6" t="s">
        <v>109</v>
      </c>
      <c r="D25" s="5" t="s">
        <v>110</v>
      </c>
      <c r="E25" s="7" t="str">
        <f aca="false">'Coverage Period'!K8</f>
        <v>07/05/2025 - 01/04/2026</v>
      </c>
      <c r="F25" s="6" t="s">
        <v>32</v>
      </c>
      <c r="G25" s="5" t="s">
        <v>111</v>
      </c>
      <c r="H25" s="11" t="s">
        <v>34</v>
      </c>
      <c r="I25" s="5" t="s">
        <v>112</v>
      </c>
      <c r="J25" s="6" t="s">
        <v>23</v>
      </c>
      <c r="K25" s="8"/>
      <c r="L25" s="9"/>
      <c r="M25" s="10"/>
    </row>
    <row r="26" customFormat="false" ht="79.85" hidden="false" customHeight="false" outlineLevel="0" collapsed="false">
      <c r="A26" s="4" t="s">
        <v>100</v>
      </c>
      <c r="B26" s="5" t="s">
        <v>101</v>
      </c>
      <c r="C26" s="6" t="s">
        <v>113</v>
      </c>
      <c r="D26" s="5" t="s">
        <v>114</v>
      </c>
      <c r="E26" s="7" t="str">
        <f aca="false">'Coverage Period'!K8</f>
        <v>07/05/2025 - 01/04/2026</v>
      </c>
      <c r="F26" s="6" t="s">
        <v>38</v>
      </c>
      <c r="G26" s="5" t="s">
        <v>115</v>
      </c>
      <c r="H26" s="5" t="s">
        <v>40</v>
      </c>
      <c r="I26" s="5" t="s">
        <v>116</v>
      </c>
      <c r="J26" s="6" t="s">
        <v>23</v>
      </c>
      <c r="K26" s="8"/>
      <c r="L26" s="9"/>
      <c r="M26" s="10"/>
    </row>
    <row r="27" customFormat="false" ht="79.85" hidden="false" customHeight="false" outlineLevel="0" collapsed="false">
      <c r="A27" s="4" t="s">
        <v>100</v>
      </c>
      <c r="B27" s="5" t="s">
        <v>101</v>
      </c>
      <c r="C27" s="6" t="s">
        <v>117</v>
      </c>
      <c r="D27" s="5" t="s">
        <v>118</v>
      </c>
      <c r="E27" s="7" t="str">
        <f aca="false">'Coverage Period'!K8</f>
        <v>07/05/2025 - 01/04/2026</v>
      </c>
      <c r="F27" s="6" t="s">
        <v>38</v>
      </c>
      <c r="G27" s="5" t="s">
        <v>115</v>
      </c>
      <c r="H27" s="5" t="s">
        <v>40</v>
      </c>
      <c r="I27" s="5" t="s">
        <v>119</v>
      </c>
      <c r="J27" s="6" t="s">
        <v>23</v>
      </c>
      <c r="K27" s="8"/>
      <c r="L27" s="9"/>
      <c r="M27" s="10"/>
    </row>
    <row r="28" customFormat="false" ht="79.85" hidden="false" customHeight="false" outlineLevel="0" collapsed="false">
      <c r="A28" s="4" t="s">
        <v>100</v>
      </c>
      <c r="B28" s="5" t="s">
        <v>101</v>
      </c>
      <c r="C28" s="6" t="s">
        <v>120</v>
      </c>
      <c r="D28" s="5" t="s">
        <v>121</v>
      </c>
      <c r="E28" s="7" t="str">
        <f aca="false">'Coverage Period'!K8</f>
        <v>07/05/2025 - 01/04/2026</v>
      </c>
      <c r="F28" s="6" t="s">
        <v>50</v>
      </c>
      <c r="G28" s="5" t="s">
        <v>122</v>
      </c>
      <c r="H28" s="11" t="s">
        <v>28</v>
      </c>
      <c r="I28" s="5" t="s">
        <v>52</v>
      </c>
      <c r="J28" s="6" t="s">
        <v>23</v>
      </c>
      <c r="K28" s="8"/>
      <c r="L28" s="9"/>
      <c r="M28" s="10"/>
    </row>
    <row r="29" customFormat="false" ht="79.85" hidden="false" customHeight="false" outlineLevel="0" collapsed="false">
      <c r="A29" s="4" t="s">
        <v>100</v>
      </c>
      <c r="B29" s="5" t="s">
        <v>101</v>
      </c>
      <c r="C29" s="6" t="s">
        <v>123</v>
      </c>
      <c r="D29" s="5" t="s">
        <v>124</v>
      </c>
      <c r="E29" s="7" t="str">
        <f aca="false">'Coverage Period'!K8</f>
        <v>07/05/2025 - 01/04/2026</v>
      </c>
      <c r="F29" s="6" t="s">
        <v>55</v>
      </c>
      <c r="G29" s="5" t="s">
        <v>125</v>
      </c>
      <c r="H29" s="5" t="s">
        <v>57</v>
      </c>
      <c r="I29" s="5" t="s">
        <v>126</v>
      </c>
      <c r="J29" s="6" t="s">
        <v>23</v>
      </c>
      <c r="K29" s="8"/>
      <c r="L29" s="9"/>
      <c r="M29" s="10"/>
    </row>
    <row r="30" customFormat="false" ht="79.85" hidden="false" customHeight="false" outlineLevel="0" collapsed="false">
      <c r="A30" s="4" t="s">
        <v>100</v>
      </c>
      <c r="B30" s="5" t="s">
        <v>101</v>
      </c>
      <c r="C30" s="6" t="s">
        <v>127</v>
      </c>
      <c r="D30" s="5" t="s">
        <v>128</v>
      </c>
      <c r="E30" s="7" t="str">
        <f aca="false">'Coverage Period'!K8</f>
        <v>07/05/2025 - 01/04/2026</v>
      </c>
      <c r="F30" s="6" t="s">
        <v>61</v>
      </c>
      <c r="G30" s="5" t="s">
        <v>129</v>
      </c>
      <c r="H30" s="5" t="s">
        <v>85</v>
      </c>
      <c r="I30" s="5" t="s">
        <v>130</v>
      </c>
      <c r="J30" s="6" t="s">
        <v>23</v>
      </c>
      <c r="K30" s="8"/>
      <c r="L30" s="9"/>
      <c r="M30" s="10"/>
    </row>
    <row r="31" customFormat="false" ht="79.85" hidden="false" customHeight="false" outlineLevel="0" collapsed="false">
      <c r="A31" s="4" t="s">
        <v>131</v>
      </c>
      <c r="B31" s="5" t="s">
        <v>132</v>
      </c>
      <c r="C31" s="6" t="s">
        <v>133</v>
      </c>
      <c r="D31" s="5" t="s">
        <v>134</v>
      </c>
      <c r="E31" s="7" t="str">
        <f aca="false">'Coverage Period'!K9</f>
        <v>07/05/2025 - 07/04/2026</v>
      </c>
      <c r="F31" s="6" t="s">
        <v>19</v>
      </c>
      <c r="G31" s="5" t="s">
        <v>135</v>
      </c>
      <c r="H31" s="5" t="s">
        <v>21</v>
      </c>
      <c r="I31" s="5" t="s">
        <v>73</v>
      </c>
      <c r="J31" s="6" t="s">
        <v>70</v>
      </c>
      <c r="K31" s="8"/>
      <c r="L31" s="9"/>
      <c r="M31" s="10"/>
    </row>
    <row r="32" customFormat="false" ht="79.85" hidden="false" customHeight="false" outlineLevel="0" collapsed="false">
      <c r="A32" s="4" t="s">
        <v>131</v>
      </c>
      <c r="B32" s="5" t="s">
        <v>132</v>
      </c>
      <c r="C32" s="6" t="s">
        <v>136</v>
      </c>
      <c r="D32" s="5" t="s">
        <v>137</v>
      </c>
      <c r="E32" s="7" t="str">
        <f aca="false">'Coverage Period'!K9</f>
        <v>07/05/2025 - 07/04/2026</v>
      </c>
      <c r="F32" s="6" t="s">
        <v>26</v>
      </c>
      <c r="G32" s="5" t="s">
        <v>138</v>
      </c>
      <c r="H32" s="11" t="s">
        <v>28</v>
      </c>
      <c r="I32" s="5" t="s">
        <v>139</v>
      </c>
      <c r="J32" s="6" t="s">
        <v>70</v>
      </c>
      <c r="K32" s="8"/>
      <c r="L32" s="9"/>
      <c r="M32" s="10"/>
    </row>
    <row r="33" customFormat="false" ht="113.4" hidden="false" customHeight="false" outlineLevel="0" collapsed="false">
      <c r="A33" s="4" t="s">
        <v>131</v>
      </c>
      <c r="B33" s="5" t="s">
        <v>132</v>
      </c>
      <c r="C33" s="6" t="s">
        <v>140</v>
      </c>
      <c r="D33" s="5" t="s">
        <v>141</v>
      </c>
      <c r="E33" s="7" t="str">
        <f aca="false">'Coverage Period'!K9</f>
        <v>07/05/2025 - 07/04/2026</v>
      </c>
      <c r="F33" s="6" t="s">
        <v>32</v>
      </c>
      <c r="G33" s="5" t="s">
        <v>142</v>
      </c>
      <c r="H33" s="11" t="s">
        <v>34</v>
      </c>
      <c r="I33" s="5" t="s">
        <v>63</v>
      </c>
      <c r="J33" s="6" t="s">
        <v>70</v>
      </c>
      <c r="K33" s="8"/>
      <c r="L33" s="9"/>
      <c r="M33" s="10"/>
    </row>
    <row r="34" customFormat="false" ht="79.85" hidden="false" customHeight="false" outlineLevel="0" collapsed="false">
      <c r="A34" s="4" t="s">
        <v>131</v>
      </c>
      <c r="B34" s="5" t="s">
        <v>132</v>
      </c>
      <c r="C34" s="6" t="s">
        <v>143</v>
      </c>
      <c r="D34" s="5" t="s">
        <v>144</v>
      </c>
      <c r="E34" s="7" t="str">
        <f aca="false">'Coverage Period'!K9</f>
        <v>07/05/2025 - 07/04/2026</v>
      </c>
      <c r="F34" s="6" t="s">
        <v>38</v>
      </c>
      <c r="G34" s="5" t="s">
        <v>145</v>
      </c>
      <c r="H34" s="5" t="s">
        <v>85</v>
      </c>
      <c r="I34" s="5" t="s">
        <v>146</v>
      </c>
      <c r="J34" s="6" t="s">
        <v>70</v>
      </c>
      <c r="K34" s="8"/>
      <c r="L34" s="9"/>
      <c r="M34" s="10"/>
    </row>
    <row r="35" customFormat="false" ht="79.85" hidden="false" customHeight="false" outlineLevel="0" collapsed="false">
      <c r="A35" s="4" t="s">
        <v>131</v>
      </c>
      <c r="B35" s="5" t="s">
        <v>132</v>
      </c>
      <c r="C35" s="6" t="s">
        <v>147</v>
      </c>
      <c r="D35" s="5" t="s">
        <v>148</v>
      </c>
      <c r="E35" s="7" t="str">
        <f aca="false">'Coverage Period'!K9</f>
        <v>07/05/2025 - 07/04/2026</v>
      </c>
      <c r="F35" s="6" t="s">
        <v>38</v>
      </c>
      <c r="G35" s="5" t="s">
        <v>145</v>
      </c>
      <c r="H35" s="5" t="s">
        <v>85</v>
      </c>
      <c r="I35" s="5" t="s">
        <v>149</v>
      </c>
      <c r="J35" s="6" t="s">
        <v>70</v>
      </c>
      <c r="K35" s="8"/>
      <c r="L35" s="9"/>
      <c r="M35" s="10"/>
    </row>
    <row r="36" customFormat="false" ht="79.85" hidden="false" customHeight="false" outlineLevel="0" collapsed="false">
      <c r="A36" s="4" t="s">
        <v>131</v>
      </c>
      <c r="B36" s="5" t="s">
        <v>132</v>
      </c>
      <c r="C36" s="6" t="s">
        <v>150</v>
      </c>
      <c r="D36" s="5" t="s">
        <v>151</v>
      </c>
      <c r="E36" s="7" t="str">
        <f aca="false">'Coverage Period'!K9</f>
        <v>07/05/2025 - 07/04/2026</v>
      </c>
      <c r="F36" s="6" t="s">
        <v>50</v>
      </c>
      <c r="G36" s="5" t="s">
        <v>152</v>
      </c>
      <c r="H36" s="5" t="s">
        <v>85</v>
      </c>
      <c r="I36" s="5" t="s">
        <v>153</v>
      </c>
      <c r="J36" s="6" t="s">
        <v>70</v>
      </c>
      <c r="K36" s="8"/>
      <c r="L36" s="9"/>
      <c r="M36" s="10"/>
    </row>
    <row r="37" customFormat="false" ht="79.85" hidden="false" customHeight="false" outlineLevel="0" collapsed="false">
      <c r="A37" s="4" t="s">
        <v>131</v>
      </c>
      <c r="B37" s="5" t="s">
        <v>132</v>
      </c>
      <c r="C37" s="6" t="s">
        <v>154</v>
      </c>
      <c r="D37" s="5" t="s">
        <v>155</v>
      </c>
      <c r="E37" s="7" t="str">
        <f aca="false">'Coverage Period'!K9</f>
        <v>07/05/2025 - 07/04/2026</v>
      </c>
      <c r="F37" s="6" t="s">
        <v>50</v>
      </c>
      <c r="G37" s="5" t="s">
        <v>152</v>
      </c>
      <c r="H37" s="5" t="s">
        <v>40</v>
      </c>
      <c r="I37" s="5" t="s">
        <v>63</v>
      </c>
      <c r="J37" s="6" t="s">
        <v>70</v>
      </c>
      <c r="K37" s="8"/>
      <c r="L37" s="9"/>
      <c r="M37" s="10"/>
    </row>
    <row r="38" customFormat="false" ht="79.85" hidden="false" customHeight="false" outlineLevel="0" collapsed="false">
      <c r="A38" s="4" t="s">
        <v>131</v>
      </c>
      <c r="B38" s="5" t="s">
        <v>132</v>
      </c>
      <c r="C38" s="6" t="s">
        <v>156</v>
      </c>
      <c r="D38" s="5" t="s">
        <v>157</v>
      </c>
      <c r="E38" s="7" t="str">
        <f aca="false">'Coverage Period'!K9</f>
        <v>07/05/2025 - 07/04/2026</v>
      </c>
      <c r="F38" s="6" t="s">
        <v>55</v>
      </c>
      <c r="G38" s="5" t="s">
        <v>158</v>
      </c>
      <c r="H38" s="5" t="s">
        <v>57</v>
      </c>
      <c r="I38" s="5" t="s">
        <v>58</v>
      </c>
      <c r="J38" s="6" t="s">
        <v>70</v>
      </c>
      <c r="K38" s="8"/>
      <c r="L38" s="9"/>
      <c r="M38" s="10"/>
    </row>
    <row r="39" customFormat="false" ht="79.85" hidden="false" customHeight="false" outlineLevel="0" collapsed="false">
      <c r="A39" s="4" t="s">
        <v>131</v>
      </c>
      <c r="B39" s="5" t="s">
        <v>132</v>
      </c>
      <c r="C39" s="6" t="s">
        <v>159</v>
      </c>
      <c r="D39" s="5" t="s">
        <v>160</v>
      </c>
      <c r="E39" s="7" t="str">
        <f aca="false">'Coverage Period'!K9</f>
        <v>07/05/2025 - 07/04/2026</v>
      </c>
      <c r="F39" s="6" t="s">
        <v>61</v>
      </c>
      <c r="G39" s="5" t="s">
        <v>161</v>
      </c>
      <c r="H39" s="5" t="s">
        <v>57</v>
      </c>
      <c r="I39" s="5" t="s">
        <v>63</v>
      </c>
      <c r="J39" s="6" t="s">
        <v>70</v>
      </c>
      <c r="K39" s="8"/>
      <c r="L39" s="9"/>
      <c r="M39" s="10"/>
    </row>
    <row r="40" customFormat="false" ht="79.85" hidden="false" customHeight="false" outlineLevel="0" collapsed="false">
      <c r="A40" s="4" t="s">
        <v>162</v>
      </c>
      <c r="B40" s="5" t="s">
        <v>163</v>
      </c>
      <c r="C40" s="6" t="s">
        <v>164</v>
      </c>
      <c r="D40" s="5" t="s">
        <v>165</v>
      </c>
      <c r="E40" s="7" t="str">
        <f aca="false">'Coverage Period'!K10</f>
        <v>07/05/2025 - 07/04/2026</v>
      </c>
      <c r="F40" s="6" t="s">
        <v>19</v>
      </c>
      <c r="G40" s="5" t="s">
        <v>166</v>
      </c>
      <c r="H40" s="5" t="s">
        <v>21</v>
      </c>
      <c r="I40" s="5" t="s">
        <v>167</v>
      </c>
      <c r="J40" s="6" t="s">
        <v>23</v>
      </c>
      <c r="K40" s="8"/>
      <c r="L40" s="9"/>
      <c r="M40" s="10"/>
    </row>
    <row r="41" customFormat="false" ht="79.85" hidden="false" customHeight="false" outlineLevel="0" collapsed="false">
      <c r="A41" s="4" t="s">
        <v>162</v>
      </c>
      <c r="B41" s="5" t="s">
        <v>163</v>
      </c>
      <c r="C41" s="6" t="s">
        <v>168</v>
      </c>
      <c r="D41" s="5" t="s">
        <v>169</v>
      </c>
      <c r="E41" s="7" t="str">
        <f aca="false">'Coverage Period'!K10</f>
        <v>07/05/2025 - 07/04/2026</v>
      </c>
      <c r="F41" s="6" t="s">
        <v>26</v>
      </c>
      <c r="G41" s="5" t="s">
        <v>170</v>
      </c>
      <c r="H41" s="11" t="s">
        <v>28</v>
      </c>
      <c r="I41" s="5" t="s">
        <v>139</v>
      </c>
      <c r="J41" s="6" t="s">
        <v>23</v>
      </c>
      <c r="K41" s="8"/>
      <c r="L41" s="9"/>
      <c r="M41" s="10"/>
    </row>
    <row r="42" customFormat="false" ht="113.4" hidden="false" customHeight="false" outlineLevel="0" collapsed="false">
      <c r="A42" s="4" t="s">
        <v>162</v>
      </c>
      <c r="B42" s="5" t="s">
        <v>163</v>
      </c>
      <c r="C42" s="6" t="s">
        <v>171</v>
      </c>
      <c r="D42" s="5" t="s">
        <v>172</v>
      </c>
      <c r="E42" s="7" t="str">
        <f aca="false">'Coverage Period'!K10</f>
        <v>07/05/2025 - 07/04/2026</v>
      </c>
      <c r="F42" s="6" t="s">
        <v>32</v>
      </c>
      <c r="G42" s="5" t="s">
        <v>173</v>
      </c>
      <c r="H42" s="11" t="s">
        <v>34</v>
      </c>
      <c r="I42" s="5" t="s">
        <v>174</v>
      </c>
      <c r="J42" s="6" t="s">
        <v>23</v>
      </c>
      <c r="K42" s="8"/>
      <c r="L42" s="9"/>
      <c r="M42" s="10"/>
    </row>
    <row r="43" customFormat="false" ht="79.85" hidden="false" customHeight="false" outlineLevel="0" collapsed="false">
      <c r="A43" s="4" t="s">
        <v>162</v>
      </c>
      <c r="B43" s="5" t="s">
        <v>163</v>
      </c>
      <c r="C43" s="6" t="s">
        <v>175</v>
      </c>
      <c r="D43" s="5" t="s">
        <v>176</v>
      </c>
      <c r="E43" s="7" t="str">
        <f aca="false">'Coverage Period'!K10</f>
        <v>07/05/2025 - 07/04/2026</v>
      </c>
      <c r="F43" s="6" t="s">
        <v>38</v>
      </c>
      <c r="G43" s="5" t="s">
        <v>177</v>
      </c>
      <c r="H43" s="5" t="s">
        <v>85</v>
      </c>
      <c r="I43" s="5" t="s">
        <v>178</v>
      </c>
      <c r="J43" s="6" t="s">
        <v>23</v>
      </c>
      <c r="K43" s="8"/>
      <c r="L43" s="9"/>
      <c r="M43" s="10"/>
    </row>
    <row r="44" customFormat="false" ht="79.85" hidden="false" customHeight="false" outlineLevel="0" collapsed="false">
      <c r="A44" s="4" t="s">
        <v>162</v>
      </c>
      <c r="B44" s="5" t="s">
        <v>163</v>
      </c>
      <c r="C44" s="6" t="s">
        <v>179</v>
      </c>
      <c r="D44" s="5" t="s">
        <v>180</v>
      </c>
      <c r="E44" s="7" t="str">
        <f aca="false">'Coverage Period'!K10</f>
        <v>07/05/2025 - 07/04/2026</v>
      </c>
      <c r="F44" s="6" t="s">
        <v>50</v>
      </c>
      <c r="G44" s="5" t="s">
        <v>181</v>
      </c>
      <c r="H44" s="5" t="s">
        <v>40</v>
      </c>
      <c r="I44" s="5" t="s">
        <v>174</v>
      </c>
      <c r="J44" s="6" t="s">
        <v>23</v>
      </c>
      <c r="K44" s="8"/>
      <c r="L44" s="9"/>
      <c r="M44" s="10"/>
    </row>
    <row r="45" customFormat="false" ht="79.85" hidden="false" customHeight="false" outlineLevel="0" collapsed="false">
      <c r="A45" s="4" t="s">
        <v>162</v>
      </c>
      <c r="B45" s="5" t="s">
        <v>163</v>
      </c>
      <c r="C45" s="6" t="s">
        <v>182</v>
      </c>
      <c r="D45" s="5" t="s">
        <v>183</v>
      </c>
      <c r="E45" s="7" t="str">
        <f aca="false">'Coverage Period'!K10</f>
        <v>07/05/2025 - 07/04/2026</v>
      </c>
      <c r="F45" s="6" t="s">
        <v>50</v>
      </c>
      <c r="G45" s="5" t="s">
        <v>181</v>
      </c>
      <c r="H45" s="5" t="s">
        <v>85</v>
      </c>
      <c r="I45" s="5" t="s">
        <v>63</v>
      </c>
      <c r="J45" s="6" t="s">
        <v>23</v>
      </c>
      <c r="K45" s="8"/>
      <c r="L45" s="9"/>
      <c r="M45" s="10"/>
    </row>
    <row r="46" customFormat="false" ht="79.85" hidden="false" customHeight="false" outlineLevel="0" collapsed="false">
      <c r="A46" s="4" t="s">
        <v>162</v>
      </c>
      <c r="B46" s="5" t="s">
        <v>163</v>
      </c>
      <c r="C46" s="6" t="s">
        <v>184</v>
      </c>
      <c r="D46" s="5" t="s">
        <v>185</v>
      </c>
      <c r="E46" s="7" t="str">
        <f aca="false">'Coverage Period'!K10</f>
        <v>07/05/2025 - 07/04/2026</v>
      </c>
      <c r="F46" s="6" t="s">
        <v>55</v>
      </c>
      <c r="G46" s="5" t="s">
        <v>186</v>
      </c>
      <c r="H46" s="5" t="s">
        <v>57</v>
      </c>
      <c r="I46" s="5" t="s">
        <v>58</v>
      </c>
      <c r="J46" s="6" t="s">
        <v>23</v>
      </c>
      <c r="K46" s="8"/>
      <c r="L46" s="9"/>
      <c r="M46" s="10"/>
    </row>
    <row r="47" customFormat="false" ht="79.85" hidden="false" customHeight="false" outlineLevel="0" collapsed="false">
      <c r="A47" s="4" t="s">
        <v>162</v>
      </c>
      <c r="B47" s="5" t="s">
        <v>163</v>
      </c>
      <c r="C47" s="6" t="s">
        <v>187</v>
      </c>
      <c r="D47" s="5" t="s">
        <v>188</v>
      </c>
      <c r="E47" s="7" t="str">
        <f aca="false">'Coverage Period'!K10</f>
        <v>07/05/2025 - 07/04/2026</v>
      </c>
      <c r="F47" s="6" t="s">
        <v>61</v>
      </c>
      <c r="G47" s="5" t="s">
        <v>189</v>
      </c>
      <c r="H47" s="5" t="s">
        <v>57</v>
      </c>
      <c r="I47" s="5" t="s">
        <v>99</v>
      </c>
      <c r="J47" s="6" t="s">
        <v>23</v>
      </c>
      <c r="K47" s="8"/>
      <c r="L47" s="9"/>
      <c r="M47" s="10"/>
    </row>
    <row r="48" customFormat="false" ht="79.85" hidden="false" customHeight="false" outlineLevel="0" collapsed="false">
      <c r="A48" s="4" t="s">
        <v>190</v>
      </c>
      <c r="B48" s="5" t="s">
        <v>191</v>
      </c>
      <c r="C48" s="6" t="s">
        <v>192</v>
      </c>
      <c r="D48" s="5" t="s">
        <v>193</v>
      </c>
      <c r="E48" s="7" t="str">
        <f aca="false">'Coverage Period'!K11</f>
        <v>06/01/2025 - 05/31/2026</v>
      </c>
      <c r="F48" s="6" t="s">
        <v>19</v>
      </c>
      <c r="G48" s="5" t="s">
        <v>194</v>
      </c>
      <c r="H48" s="5" t="s">
        <v>21</v>
      </c>
      <c r="I48" s="5" t="s">
        <v>167</v>
      </c>
      <c r="J48" s="6" t="s">
        <v>195</v>
      </c>
      <c r="K48" s="8"/>
      <c r="L48" s="9"/>
      <c r="M48" s="10"/>
    </row>
    <row r="49" customFormat="false" ht="79.85" hidden="false" customHeight="false" outlineLevel="0" collapsed="false">
      <c r="A49" s="4" t="s">
        <v>190</v>
      </c>
      <c r="B49" s="5" t="s">
        <v>191</v>
      </c>
      <c r="C49" s="6" t="s">
        <v>196</v>
      </c>
      <c r="D49" s="5" t="s">
        <v>197</v>
      </c>
      <c r="E49" s="7" t="str">
        <f aca="false">'Coverage Period'!K11</f>
        <v>06/01/2025 - 05/31/2026</v>
      </c>
      <c r="F49" s="6" t="s">
        <v>26</v>
      </c>
      <c r="G49" s="5" t="s">
        <v>198</v>
      </c>
      <c r="H49" s="11" t="s">
        <v>28</v>
      </c>
      <c r="I49" s="5" t="s">
        <v>29</v>
      </c>
      <c r="J49" s="6" t="s">
        <v>195</v>
      </c>
      <c r="K49" s="8"/>
      <c r="L49" s="9"/>
      <c r="M49" s="10"/>
    </row>
    <row r="50" customFormat="false" ht="113.4" hidden="false" customHeight="false" outlineLevel="0" collapsed="false">
      <c r="A50" s="4" t="s">
        <v>190</v>
      </c>
      <c r="B50" s="5" t="s">
        <v>191</v>
      </c>
      <c r="C50" s="6" t="s">
        <v>199</v>
      </c>
      <c r="D50" s="5" t="s">
        <v>200</v>
      </c>
      <c r="E50" s="7" t="str">
        <f aca="false">'Coverage Period'!K11</f>
        <v>06/01/2025 - 05/31/2026</v>
      </c>
      <c r="F50" s="6" t="s">
        <v>32</v>
      </c>
      <c r="G50" s="5" t="s">
        <v>201</v>
      </c>
      <c r="H50" s="11" t="s">
        <v>34</v>
      </c>
      <c r="I50" s="5" t="s">
        <v>202</v>
      </c>
      <c r="J50" s="6" t="s">
        <v>195</v>
      </c>
      <c r="K50" s="8"/>
      <c r="L50" s="9"/>
      <c r="M50" s="10"/>
    </row>
    <row r="51" customFormat="false" ht="113.4" hidden="false" customHeight="false" outlineLevel="0" collapsed="false">
      <c r="A51" s="4" t="s">
        <v>190</v>
      </c>
      <c r="B51" s="5" t="s">
        <v>191</v>
      </c>
      <c r="C51" s="6" t="s">
        <v>203</v>
      </c>
      <c r="D51" s="5" t="s">
        <v>204</v>
      </c>
      <c r="E51" s="7" t="str">
        <f aca="false">'Coverage Period'!K11</f>
        <v>06/01/2025 - 05/31/2026</v>
      </c>
      <c r="F51" s="6" t="s">
        <v>38</v>
      </c>
      <c r="G51" s="5" t="s">
        <v>205</v>
      </c>
      <c r="H51" s="5" t="s">
        <v>85</v>
      </c>
      <c r="I51" s="5" t="s">
        <v>206</v>
      </c>
      <c r="J51" s="6" t="s">
        <v>195</v>
      </c>
      <c r="K51" s="8"/>
      <c r="L51" s="9"/>
      <c r="M51" s="10"/>
    </row>
    <row r="52" customFormat="false" ht="102.2" hidden="false" customHeight="false" outlineLevel="0" collapsed="false">
      <c r="A52" s="4" t="s">
        <v>190</v>
      </c>
      <c r="B52" s="5" t="s">
        <v>191</v>
      </c>
      <c r="C52" s="6" t="s">
        <v>207</v>
      </c>
      <c r="D52" s="5" t="s">
        <v>208</v>
      </c>
      <c r="E52" s="7" t="str">
        <f aca="false">'Coverage Period'!K11</f>
        <v>06/01/2025 - 05/31/2026</v>
      </c>
      <c r="F52" s="6" t="s">
        <v>38</v>
      </c>
      <c r="G52" s="5" t="s">
        <v>205</v>
      </c>
      <c r="H52" s="5" t="s">
        <v>85</v>
      </c>
      <c r="I52" s="5" t="s">
        <v>209</v>
      </c>
      <c r="J52" s="6" t="s">
        <v>195</v>
      </c>
      <c r="K52" s="8"/>
      <c r="L52" s="9"/>
      <c r="M52" s="10"/>
    </row>
    <row r="53" customFormat="false" ht="79.85" hidden="false" customHeight="false" outlineLevel="0" collapsed="false">
      <c r="A53" s="4" t="s">
        <v>190</v>
      </c>
      <c r="B53" s="5" t="s">
        <v>191</v>
      </c>
      <c r="C53" s="6" t="s">
        <v>210</v>
      </c>
      <c r="D53" s="5" t="s">
        <v>211</v>
      </c>
      <c r="E53" s="7" t="str">
        <f aca="false">'Coverage Period'!K11</f>
        <v>06/01/2025 - 05/31/2026</v>
      </c>
      <c r="F53" s="6" t="s">
        <v>38</v>
      </c>
      <c r="G53" s="5" t="s">
        <v>205</v>
      </c>
      <c r="H53" s="5" t="s">
        <v>85</v>
      </c>
      <c r="I53" s="5" t="s">
        <v>212</v>
      </c>
      <c r="J53" s="6" t="s">
        <v>195</v>
      </c>
      <c r="K53" s="8"/>
      <c r="L53" s="9"/>
      <c r="M53" s="10"/>
    </row>
    <row r="54" customFormat="false" ht="79.85" hidden="false" customHeight="false" outlineLevel="0" collapsed="false">
      <c r="A54" s="4" t="s">
        <v>190</v>
      </c>
      <c r="B54" s="5" t="s">
        <v>191</v>
      </c>
      <c r="C54" s="6" t="s">
        <v>213</v>
      </c>
      <c r="D54" s="5" t="s">
        <v>214</v>
      </c>
      <c r="E54" s="7" t="str">
        <f aca="false">'Coverage Period'!K11</f>
        <v>06/01/2025 - 05/31/2026</v>
      </c>
      <c r="F54" s="6" t="s">
        <v>50</v>
      </c>
      <c r="G54" s="5" t="s">
        <v>215</v>
      </c>
      <c r="H54" s="5" t="s">
        <v>85</v>
      </c>
      <c r="I54" s="5" t="s">
        <v>216</v>
      </c>
      <c r="J54" s="6" t="s">
        <v>195</v>
      </c>
      <c r="K54" s="8"/>
      <c r="L54" s="9"/>
      <c r="M54" s="10"/>
    </row>
    <row r="55" customFormat="false" ht="79.85" hidden="false" customHeight="false" outlineLevel="0" collapsed="false">
      <c r="A55" s="4" t="s">
        <v>190</v>
      </c>
      <c r="B55" s="5" t="s">
        <v>191</v>
      </c>
      <c r="C55" s="6" t="s">
        <v>217</v>
      </c>
      <c r="D55" s="5" t="s">
        <v>218</v>
      </c>
      <c r="E55" s="7" t="str">
        <f aca="false">'Coverage Period'!K11</f>
        <v>06/01/2025 - 05/31/2026</v>
      </c>
      <c r="F55" s="6" t="s">
        <v>55</v>
      </c>
      <c r="G55" s="5" t="s">
        <v>219</v>
      </c>
      <c r="H55" s="5" t="s">
        <v>57</v>
      </c>
      <c r="I55" s="5" t="s">
        <v>220</v>
      </c>
      <c r="J55" s="6" t="s">
        <v>195</v>
      </c>
      <c r="K55" s="8"/>
      <c r="L55" s="9"/>
      <c r="M55" s="10"/>
    </row>
    <row r="56" customFormat="false" ht="79.85" hidden="false" customHeight="false" outlineLevel="0" collapsed="false">
      <c r="A56" s="4" t="s">
        <v>190</v>
      </c>
      <c r="B56" s="5" t="s">
        <v>191</v>
      </c>
      <c r="C56" s="6" t="s">
        <v>221</v>
      </c>
      <c r="D56" s="5" t="s">
        <v>222</v>
      </c>
      <c r="E56" s="7" t="str">
        <f aca="false">'Coverage Period'!K11</f>
        <v>06/01/2025 - 05/31/2026</v>
      </c>
      <c r="F56" s="6" t="s">
        <v>61</v>
      </c>
      <c r="G56" s="5" t="s">
        <v>223</v>
      </c>
      <c r="H56" s="5" t="s">
        <v>57</v>
      </c>
      <c r="I56" s="5" t="s">
        <v>63</v>
      </c>
      <c r="J56" s="6" t="s">
        <v>195</v>
      </c>
      <c r="K56" s="8"/>
      <c r="L56" s="9"/>
      <c r="M56" s="10"/>
    </row>
  </sheetData>
  <autoFilter ref="A4:M56"/>
  <mergeCells count="1">
    <mergeCell ref="A2:M2"/>
  </mergeCells>
  <dataValidations count="1">
    <dataValidation allowBlank="true" errorStyle="stop" operator="between" showDropDown="false" showErrorMessage="false" showInputMessage="false" sqref="L5:L56" type="list">
      <formula1>"Open,Provided,Partially Provided,Not Applicable,Closed"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6"/>
    <col collapsed="false" customWidth="true" hidden="false" outlineLevel="0" max="4" min="4" style="0" width="90"/>
    <col collapsed="false" customWidth="true" hidden="false" outlineLevel="0" max="5" min="5" style="0" width="10"/>
    <col collapsed="false" customWidth="true" hidden="false" outlineLevel="0" max="6" min="6" style="0" width="20"/>
  </cols>
  <sheetData>
    <row r="1" customFormat="false" ht="16.15" hidden="false" customHeight="false" outlineLevel="0" collapsed="false">
      <c r="A1" s="1" t="s">
        <v>224</v>
      </c>
    </row>
    <row r="2" customFormat="false" ht="30" hidden="false" customHeight="true" outlineLevel="0" collapsed="false">
      <c r="A2" s="2" t="s">
        <v>225</v>
      </c>
      <c r="B2" s="2"/>
      <c r="C2" s="2"/>
      <c r="D2" s="2"/>
      <c r="E2" s="2"/>
      <c r="F2" s="2"/>
    </row>
    <row r="4" customFormat="false" ht="35.05" hidden="false" customHeight="false" outlineLevel="0" collapsed="false">
      <c r="A4" s="3" t="s">
        <v>2</v>
      </c>
      <c r="B4" s="3" t="s">
        <v>226</v>
      </c>
      <c r="C4" s="3" t="s">
        <v>227</v>
      </c>
      <c r="D4" s="3" t="s">
        <v>228</v>
      </c>
      <c r="E4" s="3" t="s">
        <v>229</v>
      </c>
      <c r="F4" s="3" t="s">
        <v>230</v>
      </c>
    </row>
    <row r="5" customFormat="false" ht="35.05" hidden="false" customHeight="false" outlineLevel="0" collapsed="false">
      <c r="A5" s="4" t="s">
        <v>15</v>
      </c>
      <c r="B5" s="5" t="s">
        <v>231</v>
      </c>
      <c r="C5" s="5" t="s">
        <v>19</v>
      </c>
      <c r="D5" s="5" t="s">
        <v>20</v>
      </c>
      <c r="E5" s="6" t="n">
        <f aca="false">COUNTIFS(DRL!$A$5:$A$56,A5,DRL!$F$5:$F$56,C5)</f>
        <v>1</v>
      </c>
      <c r="F5" s="6" t="str">
        <f aca="false">IF(E5&gt;0,"Covered","GAP - add request")</f>
        <v>Covered</v>
      </c>
    </row>
    <row r="6" customFormat="false" ht="35.05" hidden="false" customHeight="false" outlineLevel="0" collapsed="false">
      <c r="A6" s="4" t="s">
        <v>15</v>
      </c>
      <c r="B6" s="5" t="s">
        <v>231</v>
      </c>
      <c r="C6" s="5" t="s">
        <v>26</v>
      </c>
      <c r="D6" s="5" t="s">
        <v>27</v>
      </c>
      <c r="E6" s="6" t="n">
        <f aca="false">COUNTIFS(DRL!$A$5:$A$56,A6,DRL!$F$5:$F$56,C6)</f>
        <v>1</v>
      </c>
      <c r="F6" s="6" t="str">
        <f aca="false">IF(E6&gt;0,"Covered","GAP - add request")</f>
        <v>Covered</v>
      </c>
    </row>
    <row r="7" customFormat="false" ht="35.05" hidden="false" customHeight="false" outlineLevel="0" collapsed="false">
      <c r="A7" s="4" t="s">
        <v>15</v>
      </c>
      <c r="B7" s="5" t="s">
        <v>231</v>
      </c>
      <c r="C7" s="5" t="s">
        <v>32</v>
      </c>
      <c r="D7" s="5" t="s">
        <v>33</v>
      </c>
      <c r="E7" s="6" t="n">
        <f aca="false">COUNTIFS(DRL!$A$5:$A$56,A7,DRL!$F$5:$F$56,C7)</f>
        <v>1</v>
      </c>
      <c r="F7" s="6" t="str">
        <f aca="false">IF(E7&gt;0,"Covered","GAP - add request")</f>
        <v>Covered</v>
      </c>
    </row>
    <row r="8" customFormat="false" ht="46.25" hidden="false" customHeight="false" outlineLevel="0" collapsed="false">
      <c r="A8" s="4" t="s">
        <v>15</v>
      </c>
      <c r="B8" s="5" t="s">
        <v>231</v>
      </c>
      <c r="C8" s="5" t="s">
        <v>38</v>
      </c>
      <c r="D8" s="5" t="s">
        <v>39</v>
      </c>
      <c r="E8" s="6" t="n">
        <f aca="false">COUNTIFS(DRL!$A$5:$A$56,A8,DRL!$F$5:$F$56,C8)</f>
        <v>3</v>
      </c>
      <c r="F8" s="6" t="str">
        <f aca="false">IF(E8&gt;0,"Covered","GAP - add request")</f>
        <v>Covered</v>
      </c>
    </row>
    <row r="9" customFormat="false" ht="35.05" hidden="false" customHeight="false" outlineLevel="0" collapsed="false">
      <c r="A9" s="4" t="s">
        <v>15</v>
      </c>
      <c r="B9" s="5" t="s">
        <v>231</v>
      </c>
      <c r="C9" s="5" t="s">
        <v>50</v>
      </c>
      <c r="D9" s="5" t="s">
        <v>51</v>
      </c>
      <c r="E9" s="6" t="n">
        <f aca="false">COUNTIFS(DRL!$A$5:$A$56,A9,DRL!$F$5:$F$56,C9)</f>
        <v>1</v>
      </c>
      <c r="F9" s="6" t="str">
        <f aca="false">IF(E9&gt;0,"Covered","GAP - add request")</f>
        <v>Covered</v>
      </c>
    </row>
    <row r="10" customFormat="false" ht="35.05" hidden="false" customHeight="false" outlineLevel="0" collapsed="false">
      <c r="A10" s="4" t="s">
        <v>15</v>
      </c>
      <c r="B10" s="5" t="s">
        <v>231</v>
      </c>
      <c r="C10" s="5" t="s">
        <v>55</v>
      </c>
      <c r="D10" s="5" t="s">
        <v>56</v>
      </c>
      <c r="E10" s="6" t="n">
        <f aca="false">COUNTIFS(DRL!$A$5:$A$56,A10,DRL!$F$5:$F$56,C10)</f>
        <v>1</v>
      </c>
      <c r="F10" s="6" t="str">
        <f aca="false">IF(E10&gt;0,"Covered","GAP - add request")</f>
        <v>Covered</v>
      </c>
    </row>
    <row r="11" customFormat="false" ht="35.05" hidden="false" customHeight="false" outlineLevel="0" collapsed="false">
      <c r="A11" s="4" t="s">
        <v>15</v>
      </c>
      <c r="B11" s="5" t="s">
        <v>231</v>
      </c>
      <c r="C11" s="5" t="s">
        <v>61</v>
      </c>
      <c r="D11" s="5" t="s">
        <v>62</v>
      </c>
      <c r="E11" s="6" t="n">
        <f aca="false">COUNTIFS(DRL!$A$5:$A$56,A11,DRL!$F$5:$F$56,C11)</f>
        <v>1</v>
      </c>
      <c r="F11" s="6" t="str">
        <f aca="false">IF(E11&gt;0,"Covered","GAP - add request")</f>
        <v>Covered</v>
      </c>
    </row>
    <row r="12" customFormat="false" ht="35.05" hidden="false" customHeight="false" outlineLevel="0" collapsed="false">
      <c r="A12" s="4" t="s">
        <v>15</v>
      </c>
      <c r="B12" s="5" t="s">
        <v>231</v>
      </c>
      <c r="C12" s="5" t="s">
        <v>232</v>
      </c>
      <c r="D12" s="5" t="s">
        <v>233</v>
      </c>
      <c r="E12" s="6" t="n">
        <f aca="false">COUNTIFS(DRL!$A$5:$A$56,A12,DRL!$F$5:$F$56,C12)</f>
        <v>0</v>
      </c>
      <c r="F12" s="6" t="s">
        <v>234</v>
      </c>
    </row>
    <row r="13" customFormat="false" ht="35.05" hidden="false" customHeight="false" outlineLevel="0" collapsed="false">
      <c r="A13" s="4" t="s">
        <v>15</v>
      </c>
      <c r="B13" s="5" t="s">
        <v>231</v>
      </c>
      <c r="C13" s="5" t="s">
        <v>235</v>
      </c>
      <c r="D13" s="5" t="s">
        <v>236</v>
      </c>
      <c r="E13" s="6" t="n">
        <f aca="false">COUNTIFS(DRL!$A$5:$A$56,A13,DRL!$F$5:$F$56,C13)</f>
        <v>0</v>
      </c>
      <c r="F13" s="6" t="s">
        <v>234</v>
      </c>
    </row>
    <row r="14" customFormat="false" ht="35.05" hidden="false" customHeight="false" outlineLevel="0" collapsed="false">
      <c r="A14" s="4" t="s">
        <v>64</v>
      </c>
      <c r="B14" s="5" t="s">
        <v>237</v>
      </c>
      <c r="C14" s="5" t="s">
        <v>19</v>
      </c>
      <c r="D14" s="5" t="s">
        <v>68</v>
      </c>
      <c r="E14" s="6" t="n">
        <f aca="false">COUNTIFS(DRL!$A$5:$A$56,A14,DRL!$F$5:$F$56,C14)</f>
        <v>2</v>
      </c>
      <c r="F14" s="6" t="str">
        <f aca="false">IF(E14&gt;0,"Covered","GAP - add request")</f>
        <v>Covered</v>
      </c>
    </row>
    <row r="15" customFormat="false" ht="35.05" hidden="false" customHeight="false" outlineLevel="0" collapsed="false">
      <c r="A15" s="4" t="s">
        <v>64</v>
      </c>
      <c r="B15" s="5" t="s">
        <v>237</v>
      </c>
      <c r="C15" s="5" t="s">
        <v>26</v>
      </c>
      <c r="D15" s="5" t="s">
        <v>76</v>
      </c>
      <c r="E15" s="6" t="n">
        <f aca="false">COUNTIFS(DRL!$A$5:$A$56,A15,DRL!$F$5:$F$56,C15)</f>
        <v>1</v>
      </c>
      <c r="F15" s="6" t="str">
        <f aca="false">IF(E15&gt;0,"Covered","GAP - add request")</f>
        <v>Covered</v>
      </c>
    </row>
    <row r="16" customFormat="false" ht="23.85" hidden="false" customHeight="false" outlineLevel="0" collapsed="false">
      <c r="A16" s="4" t="s">
        <v>64</v>
      </c>
      <c r="B16" s="5" t="s">
        <v>237</v>
      </c>
      <c r="C16" s="5" t="s">
        <v>32</v>
      </c>
      <c r="D16" s="5" t="s">
        <v>80</v>
      </c>
      <c r="E16" s="6" t="n">
        <f aca="false">COUNTIFS(DRL!$A$5:$A$56,A16,DRL!$F$5:$F$56,C16)</f>
        <v>1</v>
      </c>
      <c r="F16" s="6" t="str">
        <f aca="false">IF(E16&gt;0,"Covered","GAP - add request")</f>
        <v>Covered</v>
      </c>
    </row>
    <row r="17" customFormat="false" ht="35.05" hidden="false" customHeight="false" outlineLevel="0" collapsed="false">
      <c r="A17" s="4" t="s">
        <v>64</v>
      </c>
      <c r="B17" s="5" t="s">
        <v>237</v>
      </c>
      <c r="C17" s="5" t="s">
        <v>38</v>
      </c>
      <c r="D17" s="5" t="s">
        <v>84</v>
      </c>
      <c r="E17" s="6" t="n">
        <f aca="false">COUNTIFS(DRL!$A$5:$A$56,A17,DRL!$F$5:$F$56,C17)</f>
        <v>2</v>
      </c>
      <c r="F17" s="6" t="str">
        <f aca="false">IF(E17&gt;0,"Covered","GAP - add request")</f>
        <v>Covered</v>
      </c>
    </row>
    <row r="18" customFormat="false" ht="35.05" hidden="false" customHeight="false" outlineLevel="0" collapsed="false">
      <c r="A18" s="4" t="s">
        <v>64</v>
      </c>
      <c r="B18" s="5" t="s">
        <v>237</v>
      </c>
      <c r="C18" s="5" t="s">
        <v>50</v>
      </c>
      <c r="D18" s="5" t="s">
        <v>91</v>
      </c>
      <c r="E18" s="6" t="n">
        <f aca="false">COUNTIFS(DRL!$A$5:$A$56,A18,DRL!$F$5:$F$56,C18)</f>
        <v>1</v>
      </c>
      <c r="F18" s="6" t="str">
        <f aca="false">IF(E18&gt;0,"Covered","GAP - add request")</f>
        <v>Covered</v>
      </c>
    </row>
    <row r="19" customFormat="false" ht="23.85" hidden="false" customHeight="false" outlineLevel="0" collapsed="false">
      <c r="A19" s="4" t="s">
        <v>64</v>
      </c>
      <c r="B19" s="5" t="s">
        <v>237</v>
      </c>
      <c r="C19" s="5" t="s">
        <v>55</v>
      </c>
      <c r="D19" s="5" t="s">
        <v>95</v>
      </c>
      <c r="E19" s="6" t="n">
        <f aca="false">COUNTIFS(DRL!$A$5:$A$56,A19,DRL!$F$5:$F$56,C19)</f>
        <v>1</v>
      </c>
      <c r="F19" s="6" t="str">
        <f aca="false">IF(E19&gt;0,"Covered","GAP - add request")</f>
        <v>Covered</v>
      </c>
    </row>
    <row r="20" customFormat="false" ht="35.05" hidden="false" customHeight="false" outlineLevel="0" collapsed="false">
      <c r="A20" s="4" t="s">
        <v>64</v>
      </c>
      <c r="B20" s="5" t="s">
        <v>237</v>
      </c>
      <c r="C20" s="5" t="s">
        <v>61</v>
      </c>
      <c r="D20" s="5" t="s">
        <v>98</v>
      </c>
      <c r="E20" s="6" t="n">
        <f aca="false">COUNTIFS(DRL!$A$5:$A$56,A20,DRL!$F$5:$F$56,C20)</f>
        <v>1</v>
      </c>
      <c r="F20" s="6" t="str">
        <f aca="false">IF(E20&gt;0,"Covered","GAP - add request")</f>
        <v>Covered</v>
      </c>
    </row>
    <row r="21" customFormat="false" ht="23.85" hidden="false" customHeight="false" outlineLevel="0" collapsed="false">
      <c r="A21" s="4" t="s">
        <v>64</v>
      </c>
      <c r="B21" s="5" t="s">
        <v>237</v>
      </c>
      <c r="C21" s="5" t="s">
        <v>232</v>
      </c>
      <c r="D21" s="5" t="s">
        <v>238</v>
      </c>
      <c r="E21" s="6" t="n">
        <f aca="false">COUNTIFS(DRL!$A$5:$A$56,A21,DRL!$F$5:$F$56,C21)</f>
        <v>0</v>
      </c>
      <c r="F21" s="6" t="s">
        <v>234</v>
      </c>
    </row>
    <row r="22" customFormat="false" ht="23.85" hidden="false" customHeight="false" outlineLevel="0" collapsed="false">
      <c r="A22" s="4" t="s">
        <v>64</v>
      </c>
      <c r="B22" s="5" t="s">
        <v>237</v>
      </c>
      <c r="C22" s="5" t="s">
        <v>235</v>
      </c>
      <c r="D22" s="5" t="s">
        <v>239</v>
      </c>
      <c r="E22" s="6" t="n">
        <f aca="false">COUNTIFS(DRL!$A$5:$A$56,A22,DRL!$F$5:$F$56,C22)</f>
        <v>0</v>
      </c>
      <c r="F22" s="6" t="s">
        <v>234</v>
      </c>
    </row>
    <row r="23" customFormat="false" ht="35.05" hidden="false" customHeight="false" outlineLevel="0" collapsed="false">
      <c r="A23" s="4" t="s">
        <v>100</v>
      </c>
      <c r="B23" s="5" t="s">
        <v>240</v>
      </c>
      <c r="C23" s="5" t="s">
        <v>19</v>
      </c>
      <c r="D23" s="5" t="s">
        <v>104</v>
      </c>
      <c r="E23" s="6" t="n">
        <f aca="false">COUNTIFS(DRL!$A$5:$A$56,A23,DRL!$F$5:$F$56,C23)</f>
        <v>1</v>
      </c>
      <c r="F23" s="6" t="str">
        <f aca="false">IF(E23&gt;0,"Covered","GAP - add request")</f>
        <v>Covered</v>
      </c>
    </row>
    <row r="24" customFormat="false" ht="35.05" hidden="false" customHeight="false" outlineLevel="0" collapsed="false">
      <c r="A24" s="4" t="s">
        <v>100</v>
      </c>
      <c r="B24" s="5" t="s">
        <v>240</v>
      </c>
      <c r="C24" s="5" t="s">
        <v>26</v>
      </c>
      <c r="D24" s="5" t="s">
        <v>108</v>
      </c>
      <c r="E24" s="6" t="n">
        <f aca="false">COUNTIFS(DRL!$A$5:$A$56,A24,DRL!$F$5:$F$56,C24)</f>
        <v>1</v>
      </c>
      <c r="F24" s="6" t="str">
        <f aca="false">IF(E24&gt;0,"Covered","GAP - add request")</f>
        <v>Covered</v>
      </c>
    </row>
    <row r="25" customFormat="false" ht="35.05" hidden="false" customHeight="false" outlineLevel="0" collapsed="false">
      <c r="A25" s="4" t="s">
        <v>100</v>
      </c>
      <c r="B25" s="5" t="s">
        <v>240</v>
      </c>
      <c r="C25" s="5" t="s">
        <v>32</v>
      </c>
      <c r="D25" s="5" t="s">
        <v>111</v>
      </c>
      <c r="E25" s="6" t="n">
        <f aca="false">COUNTIFS(DRL!$A$5:$A$56,A25,DRL!$F$5:$F$56,C25)</f>
        <v>1</v>
      </c>
      <c r="F25" s="6" t="str">
        <f aca="false">IF(E25&gt;0,"Covered","GAP - add request")</f>
        <v>Covered</v>
      </c>
    </row>
    <row r="26" customFormat="false" ht="35.05" hidden="false" customHeight="false" outlineLevel="0" collapsed="false">
      <c r="A26" s="4" t="s">
        <v>100</v>
      </c>
      <c r="B26" s="5" t="s">
        <v>240</v>
      </c>
      <c r="C26" s="5" t="s">
        <v>38</v>
      </c>
      <c r="D26" s="5" t="s">
        <v>115</v>
      </c>
      <c r="E26" s="6" t="n">
        <f aca="false">COUNTIFS(DRL!$A$5:$A$56,A26,DRL!$F$5:$F$56,C26)</f>
        <v>2</v>
      </c>
      <c r="F26" s="6" t="str">
        <f aca="false">IF(E26&gt;0,"Covered","GAP - add request")</f>
        <v>Covered</v>
      </c>
    </row>
    <row r="27" customFormat="false" ht="35.05" hidden="false" customHeight="false" outlineLevel="0" collapsed="false">
      <c r="A27" s="4" t="s">
        <v>100</v>
      </c>
      <c r="B27" s="5" t="s">
        <v>240</v>
      </c>
      <c r="C27" s="5" t="s">
        <v>50</v>
      </c>
      <c r="D27" s="5" t="s">
        <v>122</v>
      </c>
      <c r="E27" s="6" t="n">
        <f aca="false">COUNTIFS(DRL!$A$5:$A$56,A27,DRL!$F$5:$F$56,C27)</f>
        <v>1</v>
      </c>
      <c r="F27" s="6" t="str">
        <f aca="false">IF(E27&gt;0,"Covered","GAP - add request")</f>
        <v>Covered</v>
      </c>
    </row>
    <row r="28" customFormat="false" ht="35.05" hidden="false" customHeight="false" outlineLevel="0" collapsed="false">
      <c r="A28" s="4" t="s">
        <v>100</v>
      </c>
      <c r="B28" s="5" t="s">
        <v>240</v>
      </c>
      <c r="C28" s="5" t="s">
        <v>55</v>
      </c>
      <c r="D28" s="5" t="s">
        <v>125</v>
      </c>
      <c r="E28" s="6" t="n">
        <f aca="false">COUNTIFS(DRL!$A$5:$A$56,A28,DRL!$F$5:$F$56,C28)</f>
        <v>1</v>
      </c>
      <c r="F28" s="6" t="str">
        <f aca="false">IF(E28&gt;0,"Covered","GAP - add request")</f>
        <v>Covered</v>
      </c>
    </row>
    <row r="29" customFormat="false" ht="35.05" hidden="false" customHeight="false" outlineLevel="0" collapsed="false">
      <c r="A29" s="4" t="s">
        <v>100</v>
      </c>
      <c r="B29" s="5" t="s">
        <v>240</v>
      </c>
      <c r="C29" s="5" t="s">
        <v>61</v>
      </c>
      <c r="D29" s="5" t="s">
        <v>129</v>
      </c>
      <c r="E29" s="6" t="n">
        <f aca="false">COUNTIFS(DRL!$A$5:$A$56,A29,DRL!$F$5:$F$56,C29)</f>
        <v>1</v>
      </c>
      <c r="F29" s="6" t="str">
        <f aca="false">IF(E29&gt;0,"Covered","GAP - add request")</f>
        <v>Covered</v>
      </c>
    </row>
    <row r="30" customFormat="false" ht="35.05" hidden="false" customHeight="false" outlineLevel="0" collapsed="false">
      <c r="A30" s="4" t="s">
        <v>100</v>
      </c>
      <c r="B30" s="5" t="s">
        <v>240</v>
      </c>
      <c r="C30" s="5" t="s">
        <v>232</v>
      </c>
      <c r="D30" s="5" t="s">
        <v>241</v>
      </c>
      <c r="E30" s="6" t="n">
        <f aca="false">COUNTIFS(DRL!$A$5:$A$56,A30,DRL!$F$5:$F$56,C30)</f>
        <v>0</v>
      </c>
      <c r="F30" s="6" t="s">
        <v>234</v>
      </c>
    </row>
    <row r="31" customFormat="false" ht="35.05" hidden="false" customHeight="false" outlineLevel="0" collapsed="false">
      <c r="A31" s="4" t="s">
        <v>100</v>
      </c>
      <c r="B31" s="5" t="s">
        <v>240</v>
      </c>
      <c r="C31" s="5" t="s">
        <v>235</v>
      </c>
      <c r="D31" s="5" t="s">
        <v>242</v>
      </c>
      <c r="E31" s="6" t="n">
        <f aca="false">COUNTIFS(DRL!$A$5:$A$56,A31,DRL!$F$5:$F$56,C31)</f>
        <v>0</v>
      </c>
      <c r="F31" s="6" t="s">
        <v>234</v>
      </c>
    </row>
    <row r="32" customFormat="false" ht="35.05" hidden="false" customHeight="false" outlineLevel="0" collapsed="false">
      <c r="A32" s="4" t="s">
        <v>131</v>
      </c>
      <c r="B32" s="5" t="s">
        <v>243</v>
      </c>
      <c r="C32" s="5" t="s">
        <v>19</v>
      </c>
      <c r="D32" s="5" t="s">
        <v>135</v>
      </c>
      <c r="E32" s="6" t="n">
        <f aca="false">COUNTIFS(DRL!$A$5:$A$56,A32,DRL!$F$5:$F$56,C32)</f>
        <v>1</v>
      </c>
      <c r="F32" s="6" t="str">
        <f aca="false">IF(E32&gt;0,"Covered","GAP - add request")</f>
        <v>Covered</v>
      </c>
    </row>
    <row r="33" customFormat="false" ht="35.05" hidden="false" customHeight="false" outlineLevel="0" collapsed="false">
      <c r="A33" s="4" t="s">
        <v>131</v>
      </c>
      <c r="B33" s="5" t="s">
        <v>243</v>
      </c>
      <c r="C33" s="5" t="s">
        <v>26</v>
      </c>
      <c r="D33" s="5" t="s">
        <v>138</v>
      </c>
      <c r="E33" s="6" t="n">
        <f aca="false">COUNTIFS(DRL!$A$5:$A$56,A33,DRL!$F$5:$F$56,C33)</f>
        <v>1</v>
      </c>
      <c r="F33" s="6" t="str">
        <f aca="false">IF(E33&gt;0,"Covered","GAP - add request")</f>
        <v>Covered</v>
      </c>
    </row>
    <row r="34" customFormat="false" ht="35.05" hidden="false" customHeight="false" outlineLevel="0" collapsed="false">
      <c r="A34" s="4" t="s">
        <v>131</v>
      </c>
      <c r="B34" s="5" t="s">
        <v>243</v>
      </c>
      <c r="C34" s="5" t="s">
        <v>32</v>
      </c>
      <c r="D34" s="5" t="s">
        <v>142</v>
      </c>
      <c r="E34" s="6" t="n">
        <f aca="false">COUNTIFS(DRL!$A$5:$A$56,A34,DRL!$F$5:$F$56,C34)</f>
        <v>1</v>
      </c>
      <c r="F34" s="6" t="str">
        <f aca="false">IF(E34&gt;0,"Covered","GAP - add request")</f>
        <v>Covered</v>
      </c>
    </row>
    <row r="35" customFormat="false" ht="35.05" hidden="false" customHeight="false" outlineLevel="0" collapsed="false">
      <c r="A35" s="4" t="s">
        <v>131</v>
      </c>
      <c r="B35" s="5" t="s">
        <v>243</v>
      </c>
      <c r="C35" s="5" t="s">
        <v>38</v>
      </c>
      <c r="D35" s="5" t="s">
        <v>145</v>
      </c>
      <c r="E35" s="6" t="n">
        <f aca="false">COUNTIFS(DRL!$A$5:$A$56,A35,DRL!$F$5:$F$56,C35)</f>
        <v>2</v>
      </c>
      <c r="F35" s="6" t="str">
        <f aca="false">IF(E35&gt;0,"Covered","GAP - add request")</f>
        <v>Covered</v>
      </c>
    </row>
    <row r="36" customFormat="false" ht="35.05" hidden="false" customHeight="false" outlineLevel="0" collapsed="false">
      <c r="A36" s="4" t="s">
        <v>131</v>
      </c>
      <c r="B36" s="5" t="s">
        <v>243</v>
      </c>
      <c r="C36" s="5" t="s">
        <v>50</v>
      </c>
      <c r="D36" s="5" t="s">
        <v>152</v>
      </c>
      <c r="E36" s="6" t="n">
        <f aca="false">COUNTIFS(DRL!$A$5:$A$56,A36,DRL!$F$5:$F$56,C36)</f>
        <v>2</v>
      </c>
      <c r="F36" s="6" t="str">
        <f aca="false">IF(E36&gt;0,"Covered","GAP - add request")</f>
        <v>Covered</v>
      </c>
    </row>
    <row r="37" customFormat="false" ht="35.05" hidden="false" customHeight="false" outlineLevel="0" collapsed="false">
      <c r="A37" s="4" t="s">
        <v>131</v>
      </c>
      <c r="B37" s="5" t="s">
        <v>243</v>
      </c>
      <c r="C37" s="5" t="s">
        <v>55</v>
      </c>
      <c r="D37" s="5" t="s">
        <v>158</v>
      </c>
      <c r="E37" s="6" t="n">
        <f aca="false">COUNTIFS(DRL!$A$5:$A$56,A37,DRL!$F$5:$F$56,C37)</f>
        <v>1</v>
      </c>
      <c r="F37" s="6" t="str">
        <f aca="false">IF(E37&gt;0,"Covered","GAP - add request")</f>
        <v>Covered</v>
      </c>
    </row>
    <row r="38" customFormat="false" ht="35.05" hidden="false" customHeight="false" outlineLevel="0" collapsed="false">
      <c r="A38" s="4" t="s">
        <v>131</v>
      </c>
      <c r="B38" s="5" t="s">
        <v>243</v>
      </c>
      <c r="C38" s="5" t="s">
        <v>61</v>
      </c>
      <c r="D38" s="5" t="s">
        <v>161</v>
      </c>
      <c r="E38" s="6" t="n">
        <f aca="false">COUNTIFS(DRL!$A$5:$A$56,A38,DRL!$F$5:$F$56,C38)</f>
        <v>1</v>
      </c>
      <c r="F38" s="6" t="str">
        <f aca="false">IF(E38&gt;0,"Covered","GAP - add request")</f>
        <v>Covered</v>
      </c>
    </row>
    <row r="39" customFormat="false" ht="35.05" hidden="false" customHeight="false" outlineLevel="0" collapsed="false">
      <c r="A39" s="4" t="s">
        <v>131</v>
      </c>
      <c r="B39" s="5" t="s">
        <v>243</v>
      </c>
      <c r="C39" s="5" t="s">
        <v>232</v>
      </c>
      <c r="D39" s="5" t="s">
        <v>244</v>
      </c>
      <c r="E39" s="6" t="n">
        <f aca="false">COUNTIFS(DRL!$A$5:$A$56,A39,DRL!$F$5:$F$56,C39)</f>
        <v>0</v>
      </c>
      <c r="F39" s="6" t="s">
        <v>234</v>
      </c>
    </row>
    <row r="40" customFormat="false" ht="35.05" hidden="false" customHeight="false" outlineLevel="0" collapsed="false">
      <c r="A40" s="4" t="s">
        <v>131</v>
      </c>
      <c r="B40" s="5" t="s">
        <v>243</v>
      </c>
      <c r="C40" s="5" t="s">
        <v>235</v>
      </c>
      <c r="D40" s="5" t="s">
        <v>245</v>
      </c>
      <c r="E40" s="6" t="n">
        <f aca="false">COUNTIFS(DRL!$A$5:$A$56,A40,DRL!$F$5:$F$56,C40)</f>
        <v>0</v>
      </c>
      <c r="F40" s="6" t="s">
        <v>234</v>
      </c>
    </row>
    <row r="41" customFormat="false" ht="35.05" hidden="false" customHeight="false" outlineLevel="0" collapsed="false">
      <c r="A41" s="4" t="s">
        <v>162</v>
      </c>
      <c r="B41" s="5" t="s">
        <v>246</v>
      </c>
      <c r="C41" s="5" t="s">
        <v>19</v>
      </c>
      <c r="D41" s="5" t="s">
        <v>166</v>
      </c>
      <c r="E41" s="6" t="n">
        <f aca="false">COUNTIFS(DRL!$A$5:$A$56,A41,DRL!$F$5:$F$56,C41)</f>
        <v>1</v>
      </c>
      <c r="F41" s="6" t="str">
        <f aca="false">IF(E41&gt;0,"Covered","GAP - add request")</f>
        <v>Covered</v>
      </c>
    </row>
    <row r="42" customFormat="false" ht="35.05" hidden="false" customHeight="false" outlineLevel="0" collapsed="false">
      <c r="A42" s="4" t="s">
        <v>162</v>
      </c>
      <c r="B42" s="5" t="s">
        <v>246</v>
      </c>
      <c r="C42" s="5" t="s">
        <v>26</v>
      </c>
      <c r="D42" s="5" t="s">
        <v>170</v>
      </c>
      <c r="E42" s="6" t="n">
        <f aca="false">COUNTIFS(DRL!$A$5:$A$56,A42,DRL!$F$5:$F$56,C42)</f>
        <v>1</v>
      </c>
      <c r="F42" s="6" t="str">
        <f aca="false">IF(E42&gt;0,"Covered","GAP - add request")</f>
        <v>Covered</v>
      </c>
    </row>
    <row r="43" customFormat="false" ht="46.25" hidden="false" customHeight="false" outlineLevel="0" collapsed="false">
      <c r="A43" s="4" t="s">
        <v>162</v>
      </c>
      <c r="B43" s="5" t="s">
        <v>246</v>
      </c>
      <c r="C43" s="5" t="s">
        <v>32</v>
      </c>
      <c r="D43" s="5" t="s">
        <v>173</v>
      </c>
      <c r="E43" s="6" t="n">
        <f aca="false">COUNTIFS(DRL!$A$5:$A$56,A43,DRL!$F$5:$F$56,C43)</f>
        <v>1</v>
      </c>
      <c r="F43" s="6" t="str">
        <f aca="false">IF(E43&gt;0,"Covered","GAP - add request")</f>
        <v>Covered</v>
      </c>
    </row>
    <row r="44" customFormat="false" ht="46.25" hidden="false" customHeight="false" outlineLevel="0" collapsed="false">
      <c r="A44" s="4" t="s">
        <v>162</v>
      </c>
      <c r="B44" s="5" t="s">
        <v>246</v>
      </c>
      <c r="C44" s="5" t="s">
        <v>38</v>
      </c>
      <c r="D44" s="5" t="s">
        <v>177</v>
      </c>
      <c r="E44" s="6" t="n">
        <f aca="false">COUNTIFS(DRL!$A$5:$A$56,A44,DRL!$F$5:$F$56,C44)</f>
        <v>1</v>
      </c>
      <c r="F44" s="6" t="str">
        <f aca="false">IF(E44&gt;0,"Covered","GAP - add request")</f>
        <v>Covered</v>
      </c>
    </row>
    <row r="45" customFormat="false" ht="35.05" hidden="false" customHeight="false" outlineLevel="0" collapsed="false">
      <c r="A45" s="4" t="s">
        <v>162</v>
      </c>
      <c r="B45" s="5" t="s">
        <v>246</v>
      </c>
      <c r="C45" s="5" t="s">
        <v>50</v>
      </c>
      <c r="D45" s="5" t="s">
        <v>181</v>
      </c>
      <c r="E45" s="6" t="n">
        <f aca="false">COUNTIFS(DRL!$A$5:$A$56,A45,DRL!$F$5:$F$56,C45)</f>
        <v>2</v>
      </c>
      <c r="F45" s="6" t="str">
        <f aca="false">IF(E45&gt;0,"Covered","GAP - add request")</f>
        <v>Covered</v>
      </c>
    </row>
    <row r="46" customFormat="false" ht="35.05" hidden="false" customHeight="false" outlineLevel="0" collapsed="false">
      <c r="A46" s="4" t="s">
        <v>162</v>
      </c>
      <c r="B46" s="5" t="s">
        <v>246</v>
      </c>
      <c r="C46" s="5" t="s">
        <v>55</v>
      </c>
      <c r="D46" s="5" t="s">
        <v>186</v>
      </c>
      <c r="E46" s="6" t="n">
        <f aca="false">COUNTIFS(DRL!$A$5:$A$56,A46,DRL!$F$5:$F$56,C46)</f>
        <v>1</v>
      </c>
      <c r="F46" s="6" t="str">
        <f aca="false">IF(E46&gt;0,"Covered","GAP - add request")</f>
        <v>Covered</v>
      </c>
    </row>
    <row r="47" customFormat="false" ht="35.05" hidden="false" customHeight="false" outlineLevel="0" collapsed="false">
      <c r="A47" s="4" t="s">
        <v>162</v>
      </c>
      <c r="B47" s="5" t="s">
        <v>246</v>
      </c>
      <c r="C47" s="5" t="s">
        <v>61</v>
      </c>
      <c r="D47" s="5" t="s">
        <v>189</v>
      </c>
      <c r="E47" s="6" t="n">
        <f aca="false">COUNTIFS(DRL!$A$5:$A$56,A47,DRL!$F$5:$F$56,C47)</f>
        <v>1</v>
      </c>
      <c r="F47" s="6" t="str">
        <f aca="false">IF(E47&gt;0,"Covered","GAP - add request")</f>
        <v>Covered</v>
      </c>
    </row>
    <row r="48" customFormat="false" ht="35.05" hidden="false" customHeight="false" outlineLevel="0" collapsed="false">
      <c r="A48" s="4" t="s">
        <v>162</v>
      </c>
      <c r="B48" s="5" t="s">
        <v>246</v>
      </c>
      <c r="C48" s="5" t="s">
        <v>232</v>
      </c>
      <c r="D48" s="5" t="s">
        <v>247</v>
      </c>
      <c r="E48" s="6" t="n">
        <f aca="false">COUNTIFS(DRL!$A$5:$A$56,A48,DRL!$F$5:$F$56,C48)</f>
        <v>0</v>
      </c>
      <c r="F48" s="6" t="s">
        <v>234</v>
      </c>
    </row>
    <row r="49" customFormat="false" ht="35.05" hidden="false" customHeight="false" outlineLevel="0" collapsed="false">
      <c r="A49" s="4" t="s">
        <v>162</v>
      </c>
      <c r="B49" s="5" t="s">
        <v>246</v>
      </c>
      <c r="C49" s="5" t="s">
        <v>235</v>
      </c>
      <c r="D49" s="5" t="s">
        <v>248</v>
      </c>
      <c r="E49" s="6" t="n">
        <f aca="false">COUNTIFS(DRL!$A$5:$A$56,A49,DRL!$F$5:$F$56,C49)</f>
        <v>0</v>
      </c>
      <c r="F49" s="6" t="s">
        <v>234</v>
      </c>
    </row>
    <row r="50" customFormat="false" ht="35.05" hidden="false" customHeight="false" outlineLevel="0" collapsed="false">
      <c r="A50" s="4" t="s">
        <v>190</v>
      </c>
      <c r="B50" s="5" t="s">
        <v>237</v>
      </c>
      <c r="C50" s="5" t="s">
        <v>19</v>
      </c>
      <c r="D50" s="5" t="s">
        <v>194</v>
      </c>
      <c r="E50" s="6" t="n">
        <f aca="false">COUNTIFS(DRL!$A$5:$A$56,A50,DRL!$F$5:$F$56,C50)</f>
        <v>1</v>
      </c>
      <c r="F50" s="6" t="str">
        <f aca="false">IF(E50&gt;0,"Covered","GAP - add request")</f>
        <v>Covered</v>
      </c>
    </row>
    <row r="51" customFormat="false" ht="35.05" hidden="false" customHeight="false" outlineLevel="0" collapsed="false">
      <c r="A51" s="4" t="s">
        <v>190</v>
      </c>
      <c r="B51" s="5" t="s">
        <v>237</v>
      </c>
      <c r="C51" s="5" t="s">
        <v>26</v>
      </c>
      <c r="D51" s="5" t="s">
        <v>198</v>
      </c>
      <c r="E51" s="6" t="n">
        <f aca="false">COUNTIFS(DRL!$A$5:$A$56,A51,DRL!$F$5:$F$56,C51)</f>
        <v>1</v>
      </c>
      <c r="F51" s="6" t="str">
        <f aca="false">IF(E51&gt;0,"Covered","GAP - add request")</f>
        <v>Covered</v>
      </c>
    </row>
    <row r="52" customFormat="false" ht="23.85" hidden="false" customHeight="false" outlineLevel="0" collapsed="false">
      <c r="A52" s="4" t="s">
        <v>190</v>
      </c>
      <c r="B52" s="5" t="s">
        <v>237</v>
      </c>
      <c r="C52" s="5" t="s">
        <v>32</v>
      </c>
      <c r="D52" s="5" t="s">
        <v>201</v>
      </c>
      <c r="E52" s="6" t="n">
        <f aca="false">COUNTIFS(DRL!$A$5:$A$56,A52,DRL!$F$5:$F$56,C52)</f>
        <v>1</v>
      </c>
      <c r="F52" s="6" t="str">
        <f aca="false">IF(E52&gt;0,"Covered","GAP - add request")</f>
        <v>Covered</v>
      </c>
    </row>
    <row r="53" customFormat="false" ht="23.85" hidden="false" customHeight="false" outlineLevel="0" collapsed="false">
      <c r="A53" s="4" t="s">
        <v>190</v>
      </c>
      <c r="B53" s="5" t="s">
        <v>237</v>
      </c>
      <c r="C53" s="5" t="s">
        <v>38</v>
      </c>
      <c r="D53" s="5" t="s">
        <v>205</v>
      </c>
      <c r="E53" s="6" t="n">
        <f aca="false">COUNTIFS(DRL!$A$5:$A$56,A53,DRL!$F$5:$F$56,C53)</f>
        <v>3</v>
      </c>
      <c r="F53" s="6" t="str">
        <f aca="false">IF(E53&gt;0,"Covered","GAP - add request")</f>
        <v>Covered</v>
      </c>
    </row>
    <row r="54" customFormat="false" ht="35.05" hidden="false" customHeight="false" outlineLevel="0" collapsed="false">
      <c r="A54" s="4" t="s">
        <v>190</v>
      </c>
      <c r="B54" s="5" t="s">
        <v>237</v>
      </c>
      <c r="C54" s="5" t="s">
        <v>50</v>
      </c>
      <c r="D54" s="5" t="s">
        <v>215</v>
      </c>
      <c r="E54" s="6" t="n">
        <f aca="false">COUNTIFS(DRL!$A$5:$A$56,A54,DRL!$F$5:$F$56,C54)</f>
        <v>1</v>
      </c>
      <c r="F54" s="6" t="str">
        <f aca="false">IF(E54&gt;0,"Covered","GAP - add request")</f>
        <v>Covered</v>
      </c>
    </row>
    <row r="55" customFormat="false" ht="23.85" hidden="false" customHeight="false" outlineLevel="0" collapsed="false">
      <c r="A55" s="4" t="s">
        <v>190</v>
      </c>
      <c r="B55" s="5" t="s">
        <v>237</v>
      </c>
      <c r="C55" s="5" t="s">
        <v>55</v>
      </c>
      <c r="D55" s="5" t="s">
        <v>219</v>
      </c>
      <c r="E55" s="6" t="n">
        <f aca="false">COUNTIFS(DRL!$A$5:$A$56,A55,DRL!$F$5:$F$56,C55)</f>
        <v>1</v>
      </c>
      <c r="F55" s="6" t="str">
        <f aca="false">IF(E55&gt;0,"Covered","GAP - add request")</f>
        <v>Covered</v>
      </c>
    </row>
    <row r="56" customFormat="false" ht="23.85" hidden="false" customHeight="false" outlineLevel="0" collapsed="false">
      <c r="A56" s="4" t="s">
        <v>190</v>
      </c>
      <c r="B56" s="5" t="s">
        <v>237</v>
      </c>
      <c r="C56" s="5" t="s">
        <v>61</v>
      </c>
      <c r="D56" s="5" t="s">
        <v>223</v>
      </c>
      <c r="E56" s="6" t="n">
        <f aca="false">COUNTIFS(DRL!$A$5:$A$56,A56,DRL!$F$5:$F$56,C56)</f>
        <v>1</v>
      </c>
      <c r="F56" s="6" t="str">
        <f aca="false">IF(E56&gt;0,"Covered","GAP - add request")</f>
        <v>Covered</v>
      </c>
    </row>
    <row r="57" customFormat="false" ht="23.85" hidden="false" customHeight="false" outlineLevel="0" collapsed="false">
      <c r="A57" s="4" t="s">
        <v>190</v>
      </c>
      <c r="B57" s="5" t="s">
        <v>237</v>
      </c>
      <c r="C57" s="5" t="s">
        <v>232</v>
      </c>
      <c r="D57" s="5" t="s">
        <v>249</v>
      </c>
      <c r="E57" s="6" t="n">
        <f aca="false">COUNTIFS(DRL!$A$5:$A$56,A57,DRL!$F$5:$F$56,C57)</f>
        <v>0</v>
      </c>
      <c r="F57" s="6" t="s">
        <v>234</v>
      </c>
    </row>
    <row r="58" customFormat="false" ht="23.85" hidden="false" customHeight="false" outlineLevel="0" collapsed="false">
      <c r="A58" s="4" t="s">
        <v>190</v>
      </c>
      <c r="B58" s="5" t="s">
        <v>237</v>
      </c>
      <c r="C58" s="5" t="s">
        <v>235</v>
      </c>
      <c r="D58" s="5" t="s">
        <v>250</v>
      </c>
      <c r="E58" s="6" t="n">
        <f aca="false">COUNTIFS(DRL!$A$5:$A$56,A58,DRL!$F$5:$F$56,C58)</f>
        <v>0</v>
      </c>
      <c r="F58" s="6" t="s">
        <v>234</v>
      </c>
    </row>
  </sheetData>
  <autoFilter ref="A4:F58"/>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6" min="6" style="0" width="12"/>
    <col collapsed="false" customWidth="true" hidden="false" outlineLevel="0" max="7" min="7" style="0" width="25"/>
    <col collapsed="false" customWidth="true" hidden="false" outlineLevel="0" max="8" min="8" style="0" width="40"/>
    <col collapsed="false" customWidth="true" hidden="false" outlineLevel="0" max="9" min="9" style="0" width="11"/>
    <col collapsed="false" customWidth="true" hidden="false" outlineLevel="0" max="10" min="10" style="0" width="12"/>
    <col collapsed="false" customWidth="true" hidden="false" outlineLevel="0" max="11" min="11" style="0" width="9"/>
  </cols>
  <sheetData>
    <row r="1" customFormat="false" ht="16.15" hidden="false" customHeight="false" outlineLevel="0" collapsed="false">
      <c r="A1" s="1" t="s">
        <v>251</v>
      </c>
    </row>
    <row r="3" customFormat="false" ht="23.85" hidden="false" customHeight="false" outlineLevel="0" collapsed="false">
      <c r="A3" s="3" t="s">
        <v>2</v>
      </c>
      <c r="B3" s="3" t="s">
        <v>252</v>
      </c>
      <c r="C3" s="3" t="s">
        <v>11</v>
      </c>
      <c r="D3" s="3" t="s">
        <v>253</v>
      </c>
      <c r="E3" s="3" t="s">
        <v>254</v>
      </c>
      <c r="F3" s="3" t="s">
        <v>255</v>
      </c>
      <c r="G3" s="3" t="s">
        <v>6</v>
      </c>
      <c r="H3" s="3" t="s">
        <v>256</v>
      </c>
      <c r="I3" s="3" t="s">
        <v>257</v>
      </c>
      <c r="J3" s="3" t="s">
        <v>258</v>
      </c>
      <c r="K3" s="3" t="s">
        <v>259</v>
      </c>
    </row>
    <row r="4" customFormat="false" ht="23.85" hidden="false" customHeight="false" outlineLevel="0" collapsed="false">
      <c r="A4" s="6" t="s">
        <v>15</v>
      </c>
      <c r="B4" s="5" t="s">
        <v>260</v>
      </c>
      <c r="C4" s="6" t="s">
        <v>23</v>
      </c>
      <c r="D4" s="6" t="n">
        <v>50539549</v>
      </c>
      <c r="E4" s="6" t="s">
        <v>261</v>
      </c>
      <c r="F4" s="6" t="s">
        <v>262</v>
      </c>
      <c r="G4" s="7" t="str">
        <f aca="false">'Coverage Period'!K6</f>
        <v>07/01/2025 - 06/30/2026</v>
      </c>
      <c r="H4" s="5" t="s">
        <v>231</v>
      </c>
      <c r="I4" s="6" t="n">
        <f aca="false">COUNTIF(DRL!$A$5:$A$56,A4)</f>
        <v>9</v>
      </c>
      <c r="J4" s="6" t="n">
        <f aca="false">COUNTIFS(DRL!$A$5:$A$56,A4,DRL!$L$5:$L$56,"Provided")+COUNTIFS(DRL!$A$5:$A$56,A4,DRL!$L$5:$L$56,"Closed")</f>
        <v>0</v>
      </c>
      <c r="K4" s="6" t="n">
        <f aca="false">I4-J4</f>
        <v>9</v>
      </c>
    </row>
    <row r="5" customFormat="false" ht="23.85" hidden="false" customHeight="false" outlineLevel="0" collapsed="false">
      <c r="A5" s="6" t="s">
        <v>64</v>
      </c>
      <c r="B5" s="5" t="s">
        <v>263</v>
      </c>
      <c r="C5" s="6" t="s">
        <v>70</v>
      </c>
      <c r="D5" s="6" t="n">
        <v>50539550</v>
      </c>
      <c r="E5" s="6" t="s">
        <v>264</v>
      </c>
      <c r="F5" s="6" t="s">
        <v>262</v>
      </c>
      <c r="G5" s="7" t="str">
        <f aca="false">'Coverage Period'!K7</f>
        <v>06/01/2025 - 05/31/2026</v>
      </c>
      <c r="H5" s="5" t="s">
        <v>237</v>
      </c>
      <c r="I5" s="6" t="n">
        <f aca="false">COUNTIF(DRL!$A$5:$A$56,A5)</f>
        <v>9</v>
      </c>
      <c r="J5" s="6" t="n">
        <f aca="false">COUNTIFS(DRL!$A$5:$A$56,A5,DRL!$L$5:$L$56,"Provided")+COUNTIFS(DRL!$A$5:$A$56,A5,DRL!$L$5:$L$56,"Closed")</f>
        <v>0</v>
      </c>
      <c r="K5" s="6" t="n">
        <f aca="false">I5-J5</f>
        <v>9</v>
      </c>
    </row>
    <row r="6" customFormat="false" ht="23.85" hidden="false" customHeight="false" outlineLevel="0" collapsed="false">
      <c r="A6" s="6" t="s">
        <v>100</v>
      </c>
      <c r="B6" s="5" t="s">
        <v>265</v>
      </c>
      <c r="C6" s="6" t="s">
        <v>23</v>
      </c>
      <c r="D6" s="6" t="n">
        <v>50539552</v>
      </c>
      <c r="E6" s="6" t="s">
        <v>261</v>
      </c>
      <c r="F6" s="6" t="s">
        <v>262</v>
      </c>
      <c r="G6" s="7" t="str">
        <f aca="false">'Coverage Period'!K8</f>
        <v>07/05/2025 - 01/04/2026</v>
      </c>
      <c r="H6" s="5" t="s">
        <v>240</v>
      </c>
      <c r="I6" s="6" t="n">
        <f aca="false">COUNTIF(DRL!$A$5:$A$56,A6)</f>
        <v>8</v>
      </c>
      <c r="J6" s="6" t="n">
        <f aca="false">COUNTIFS(DRL!$A$5:$A$56,A6,DRL!$L$5:$L$56,"Provided")+COUNTIFS(DRL!$A$5:$A$56,A6,DRL!$L$5:$L$56,"Closed")</f>
        <v>0</v>
      </c>
      <c r="K6" s="6" t="n">
        <f aca="false">I6-J6</f>
        <v>8</v>
      </c>
    </row>
    <row r="7" customFormat="false" ht="23.85" hidden="false" customHeight="false" outlineLevel="0" collapsed="false">
      <c r="A7" s="6" t="s">
        <v>131</v>
      </c>
      <c r="B7" s="5" t="s">
        <v>266</v>
      </c>
      <c r="C7" s="6" t="s">
        <v>70</v>
      </c>
      <c r="D7" s="6" t="n">
        <v>50539666</v>
      </c>
      <c r="E7" s="6" t="s">
        <v>264</v>
      </c>
      <c r="F7" s="6" t="s">
        <v>262</v>
      </c>
      <c r="G7" s="7" t="str">
        <f aca="false">'Coverage Period'!K9</f>
        <v>07/05/2025 - 07/04/2026</v>
      </c>
      <c r="H7" s="5" t="s">
        <v>243</v>
      </c>
      <c r="I7" s="6" t="n">
        <f aca="false">COUNTIF(DRL!$A$5:$A$56,A7)</f>
        <v>9</v>
      </c>
      <c r="J7" s="6" t="n">
        <f aca="false">COUNTIFS(DRL!$A$5:$A$56,A7,DRL!$L$5:$L$56,"Provided")+COUNTIFS(DRL!$A$5:$A$56,A7,DRL!$L$5:$L$56,"Closed")</f>
        <v>0</v>
      </c>
      <c r="K7" s="6" t="n">
        <f aca="false">I7-J7</f>
        <v>9</v>
      </c>
    </row>
    <row r="8" customFormat="false" ht="23.85" hidden="false" customHeight="false" outlineLevel="0" collapsed="false">
      <c r="A8" s="6" t="s">
        <v>162</v>
      </c>
      <c r="B8" s="5" t="s">
        <v>267</v>
      </c>
      <c r="C8" s="6" t="s">
        <v>23</v>
      </c>
      <c r="D8" s="6" t="n">
        <v>50539667</v>
      </c>
      <c r="E8" s="6" t="s">
        <v>261</v>
      </c>
      <c r="F8" s="6" t="s">
        <v>262</v>
      </c>
      <c r="G8" s="7" t="str">
        <f aca="false">'Coverage Period'!K10</f>
        <v>07/05/2025 - 07/04/2026</v>
      </c>
      <c r="H8" s="5" t="s">
        <v>246</v>
      </c>
      <c r="I8" s="6" t="n">
        <f aca="false">COUNTIF(DRL!$A$5:$A$56,A8)</f>
        <v>8</v>
      </c>
      <c r="J8" s="6" t="n">
        <f aca="false">COUNTIFS(DRL!$A$5:$A$56,A8,DRL!$L$5:$L$56,"Provided")+COUNTIFS(DRL!$A$5:$A$56,A8,DRL!$L$5:$L$56,"Closed")</f>
        <v>0</v>
      </c>
      <c r="K8" s="6" t="n">
        <f aca="false">I8-J8</f>
        <v>8</v>
      </c>
    </row>
    <row r="9" customFormat="false" ht="23.85" hidden="false" customHeight="false" outlineLevel="0" collapsed="false">
      <c r="A9" s="6" t="s">
        <v>190</v>
      </c>
      <c r="B9" s="5" t="s">
        <v>268</v>
      </c>
      <c r="C9" s="6" t="s">
        <v>195</v>
      </c>
      <c r="D9" s="6" t="n">
        <v>50418562</v>
      </c>
      <c r="E9" s="6" t="s">
        <v>264</v>
      </c>
      <c r="F9" s="6" t="s">
        <v>269</v>
      </c>
      <c r="G9" s="7" t="str">
        <f aca="false">'Coverage Period'!K11</f>
        <v>06/01/2025 - 05/31/2026</v>
      </c>
      <c r="H9" s="5" t="s">
        <v>237</v>
      </c>
      <c r="I9" s="6" t="n">
        <f aca="false">COUNTIF(DRL!$A$5:$A$56,A9)</f>
        <v>9</v>
      </c>
      <c r="J9" s="6" t="n">
        <f aca="false">COUNTIFS(DRL!$A$5:$A$56,A9,DRL!$L$5:$L$56,"Provided")+COUNTIFS(DRL!$A$5:$A$56,A9,DRL!$L$5:$L$56,"Closed")</f>
        <v>0</v>
      </c>
      <c r="K9" s="6" t="n">
        <f aca="false">I9-J9</f>
        <v>9</v>
      </c>
    </row>
    <row r="10" customFormat="false" ht="15" hidden="false" customHeight="false" outlineLevel="0" collapsed="false">
      <c r="A10" s="12" t="s">
        <v>270</v>
      </c>
      <c r="B10" s="12"/>
      <c r="C10" s="12"/>
      <c r="D10" s="12"/>
      <c r="E10" s="12"/>
      <c r="F10" s="12"/>
      <c r="G10" s="12"/>
      <c r="H10" s="12"/>
      <c r="I10" s="12" t="n">
        <f aca="false">SUM(I4:I9)</f>
        <v>52</v>
      </c>
      <c r="J10" s="12" t="n">
        <f aca="false">SUM(J4:J9)</f>
        <v>0</v>
      </c>
      <c r="K10" s="12" t="n">
        <f aca="false">SUM(K4:K9)</f>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22"/>
    <col collapsed="false" customWidth="true" hidden="false" outlineLevel="0" max="3" min="3" style="0" width="20"/>
    <col collapsed="false" customWidth="true" hidden="false" outlineLevel="0" max="4" min="4" style="0" width="12"/>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0"/>
    <col collapsed="false" customWidth="true" hidden="false" outlineLevel="0" max="10" min="9" style="0" width="12"/>
    <col collapsed="false" customWidth="true" hidden="false" outlineLevel="0" max="11" min="11" style="0" width="25"/>
    <col collapsed="false" customWidth="true" hidden="false" outlineLevel="0" max="12" min="12" style="0" width="70"/>
  </cols>
  <sheetData>
    <row r="1" customFormat="false" ht="16.15" hidden="false" customHeight="false" outlineLevel="0" collapsed="false">
      <c r="A1" s="1" t="s">
        <v>271</v>
      </c>
    </row>
    <row r="2" customFormat="false" ht="42" hidden="false" customHeight="true" outlineLevel="0" collapsed="false">
      <c r="A2" s="2" t="s">
        <v>272</v>
      </c>
      <c r="B2" s="2"/>
      <c r="C2" s="2"/>
      <c r="D2" s="2"/>
      <c r="E2" s="2"/>
      <c r="F2" s="2"/>
      <c r="G2" s="2"/>
      <c r="H2" s="2"/>
      <c r="I2" s="2"/>
      <c r="J2" s="2"/>
      <c r="K2" s="2"/>
      <c r="L2" s="2"/>
    </row>
    <row r="3" customFormat="false" ht="15" hidden="false" customHeight="false" outlineLevel="0" collapsed="false">
      <c r="A3" s="13" t="s">
        <v>273</v>
      </c>
      <c r="B3" s="13"/>
      <c r="C3" s="13"/>
      <c r="D3" s="13"/>
      <c r="E3" s="13"/>
      <c r="F3" s="13"/>
      <c r="G3" s="13"/>
      <c r="H3" s="13"/>
      <c r="I3" s="13"/>
      <c r="J3" s="13"/>
      <c r="K3" s="13"/>
      <c r="L3" s="13"/>
    </row>
    <row r="5" customFormat="false" ht="46.25" hidden="false" customHeight="false" outlineLevel="0" collapsed="false">
      <c r="A5" s="3" t="s">
        <v>2</v>
      </c>
      <c r="B5" s="3" t="s">
        <v>252</v>
      </c>
      <c r="C5" s="3" t="s">
        <v>274</v>
      </c>
      <c r="D5" s="3" t="s">
        <v>275</v>
      </c>
      <c r="E5" s="3" t="s">
        <v>276</v>
      </c>
      <c r="F5" s="3" t="s">
        <v>277</v>
      </c>
      <c r="G5" s="3" t="s">
        <v>278</v>
      </c>
      <c r="H5" s="3" t="s">
        <v>279</v>
      </c>
      <c r="I5" s="3" t="s">
        <v>280</v>
      </c>
      <c r="J5" s="3" t="s">
        <v>281</v>
      </c>
      <c r="K5" s="3" t="s">
        <v>6</v>
      </c>
      <c r="L5" s="3" t="s">
        <v>282</v>
      </c>
    </row>
    <row r="6" customFormat="false" ht="57.45" hidden="false" customHeight="false" outlineLevel="0" collapsed="false">
      <c r="A6" s="14" t="s">
        <v>15</v>
      </c>
      <c r="B6" s="15" t="s">
        <v>260</v>
      </c>
      <c r="C6" s="15" t="s">
        <v>283</v>
      </c>
      <c r="D6" s="14" t="s">
        <v>284</v>
      </c>
      <c r="E6" s="15" t="s">
        <v>285</v>
      </c>
      <c r="F6" s="16" t="n">
        <v>45838</v>
      </c>
      <c r="G6" s="14" t="s">
        <v>286</v>
      </c>
      <c r="H6" s="17" t="n">
        <v>12</v>
      </c>
      <c r="I6" s="18" t="n">
        <f aca="false">F6+1</f>
        <v>45839</v>
      </c>
      <c r="J6" s="18" t="n">
        <f aca="false">EDATE(I6,H6)-1</f>
        <v>46203</v>
      </c>
      <c r="K6" s="19" t="str">
        <f aca="false">TEXT(I6,"mm/dd/yyyy")&amp;" - "&amp;TEXT(J6,"mm/dd/yyyy")</f>
        <v>07/01/2025 - 06/30/2026</v>
      </c>
      <c r="L6" s="15" t="s">
        <v>287</v>
      </c>
    </row>
    <row r="7" customFormat="false" ht="46.25" hidden="false" customHeight="false" outlineLevel="0" collapsed="false">
      <c r="A7" s="6" t="s">
        <v>64</v>
      </c>
      <c r="B7" s="5" t="s">
        <v>263</v>
      </c>
      <c r="C7" s="5" t="s">
        <v>288</v>
      </c>
      <c r="D7" s="6" t="s">
        <v>289</v>
      </c>
      <c r="E7" s="5" t="s">
        <v>290</v>
      </c>
      <c r="F7" s="16" t="n">
        <v>45808</v>
      </c>
      <c r="G7" s="6" t="s">
        <v>286</v>
      </c>
      <c r="H7" s="17" t="n">
        <v>12</v>
      </c>
      <c r="I7" s="20" t="n">
        <f aca="false">F7+1</f>
        <v>45809</v>
      </c>
      <c r="J7" s="20" t="n">
        <f aca="false">EDATE(I7,H7)-1</f>
        <v>46173</v>
      </c>
      <c r="K7" s="21" t="str">
        <f aca="false">TEXT(I7,"mm/dd/yyyy")&amp;" - "&amp;TEXT(J7,"mm/dd/yyyy")</f>
        <v>06/01/2025 - 05/31/2026</v>
      </c>
      <c r="L7" s="5" t="s">
        <v>291</v>
      </c>
    </row>
    <row r="8" customFormat="false" ht="68.65" hidden="false" customHeight="false" outlineLevel="0" collapsed="false">
      <c r="A8" s="14" t="s">
        <v>100</v>
      </c>
      <c r="B8" s="15" t="s">
        <v>265</v>
      </c>
      <c r="C8" s="15" t="s">
        <v>292</v>
      </c>
      <c r="D8" s="14" t="s">
        <v>284</v>
      </c>
      <c r="E8" s="15" t="s">
        <v>293</v>
      </c>
      <c r="F8" s="16" t="n">
        <v>45842</v>
      </c>
      <c r="G8" s="14" t="s">
        <v>294</v>
      </c>
      <c r="H8" s="17" t="n">
        <v>6</v>
      </c>
      <c r="I8" s="18" t="n">
        <f aca="false">F8+1</f>
        <v>45843</v>
      </c>
      <c r="J8" s="18" t="n">
        <f aca="false">EDATE(I8,H8)-1</f>
        <v>46026</v>
      </c>
      <c r="K8" s="19" t="str">
        <f aca="false">TEXT(I8,"mm/dd/yyyy")&amp;" - "&amp;TEXT(J8,"mm/dd/yyyy")</f>
        <v>07/05/2025 - 01/04/2026</v>
      </c>
      <c r="L8" s="15" t="s">
        <v>295</v>
      </c>
    </row>
    <row r="9" customFormat="false" ht="35.05" hidden="false" customHeight="false" outlineLevel="0" collapsed="false">
      <c r="A9" s="6" t="s">
        <v>131</v>
      </c>
      <c r="B9" s="5" t="s">
        <v>266</v>
      </c>
      <c r="C9" s="5" t="s">
        <v>296</v>
      </c>
      <c r="D9" s="6" t="s">
        <v>297</v>
      </c>
      <c r="E9" s="5" t="s">
        <v>298</v>
      </c>
      <c r="F9" s="16" t="n">
        <v>45842</v>
      </c>
      <c r="G9" s="6" t="s">
        <v>286</v>
      </c>
      <c r="H9" s="17" t="n">
        <v>12</v>
      </c>
      <c r="I9" s="20" t="n">
        <f aca="false">F9+1</f>
        <v>45843</v>
      </c>
      <c r="J9" s="20" t="n">
        <f aca="false">EDATE(I9,H9)-1</f>
        <v>46207</v>
      </c>
      <c r="K9" s="21" t="str">
        <f aca="false">TEXT(I9,"mm/dd/yyyy")&amp;" - "&amp;TEXT(J9,"mm/dd/yyyy")</f>
        <v>07/05/2025 - 07/04/2026</v>
      </c>
      <c r="L9" s="5" t="s">
        <v>299</v>
      </c>
    </row>
    <row r="10" customFormat="false" ht="35.05" hidden="false" customHeight="false" outlineLevel="0" collapsed="false">
      <c r="A10" s="6" t="s">
        <v>162</v>
      </c>
      <c r="B10" s="5" t="s">
        <v>267</v>
      </c>
      <c r="C10" s="5" t="s">
        <v>292</v>
      </c>
      <c r="D10" s="6" t="s">
        <v>284</v>
      </c>
      <c r="E10" s="5" t="s">
        <v>300</v>
      </c>
      <c r="F10" s="16" t="n">
        <v>45842</v>
      </c>
      <c r="G10" s="6" t="s">
        <v>286</v>
      </c>
      <c r="H10" s="17" t="n">
        <v>12</v>
      </c>
      <c r="I10" s="20" t="n">
        <f aca="false">F10+1</f>
        <v>45843</v>
      </c>
      <c r="J10" s="20" t="n">
        <f aca="false">EDATE(I10,H10)-1</f>
        <v>46207</v>
      </c>
      <c r="K10" s="21" t="str">
        <f aca="false">TEXT(I10,"mm/dd/yyyy")&amp;" - "&amp;TEXT(J10,"mm/dd/yyyy")</f>
        <v>07/05/2025 - 07/04/2026</v>
      </c>
      <c r="L10" s="5" t="s">
        <v>299</v>
      </c>
    </row>
    <row r="11" customFormat="false" ht="23.85" hidden="false" customHeight="false" outlineLevel="0" collapsed="false">
      <c r="A11" s="6" t="s">
        <v>190</v>
      </c>
      <c r="B11" s="5" t="s">
        <v>268</v>
      </c>
      <c r="C11" s="5" t="s">
        <v>288</v>
      </c>
      <c r="D11" s="6" t="s">
        <v>301</v>
      </c>
      <c r="E11" s="5" t="s">
        <v>302</v>
      </c>
      <c r="F11" s="16" t="n">
        <v>45808</v>
      </c>
      <c r="G11" s="6" t="s">
        <v>286</v>
      </c>
      <c r="H11" s="17" t="n">
        <v>12</v>
      </c>
      <c r="I11" s="20" t="n">
        <f aca="false">F11+1</f>
        <v>45809</v>
      </c>
      <c r="J11" s="20" t="n">
        <f aca="false">EDATE(I11,H11)-1</f>
        <v>46173</v>
      </c>
      <c r="K11" s="21" t="str">
        <f aca="false">TEXT(I11,"mm/dd/yyyy")&amp;" - "&amp;TEXT(J11,"mm/dd/yyyy")</f>
        <v>06/01/2025 - 05/31/2026</v>
      </c>
      <c r="L11" s="5" t="s">
        <v>303</v>
      </c>
    </row>
  </sheetData>
  <mergeCells count="2">
    <mergeCell ref="A2:L2"/>
    <mergeCell ref="A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60"/>
    <col collapsed="false" customWidth="true" hidden="false" outlineLevel="0" max="4" min="4" style="0" width="55"/>
    <col collapsed="false" customWidth="true" hidden="false" outlineLevel="0" max="5" min="5" style="0" width="50"/>
  </cols>
  <sheetData>
    <row r="1" customFormat="false" ht="16.15" hidden="false" customHeight="false" outlineLevel="0" collapsed="false">
      <c r="A1" s="1" t="s">
        <v>304</v>
      </c>
    </row>
    <row r="3" customFormat="false" ht="15" hidden="false" customHeight="false" outlineLevel="0" collapsed="false">
      <c r="A3" s="3" t="s">
        <v>2</v>
      </c>
      <c r="B3" s="3" t="s">
        <v>305</v>
      </c>
      <c r="C3" s="3" t="s">
        <v>306</v>
      </c>
      <c r="D3" s="3" t="s">
        <v>307</v>
      </c>
      <c r="E3" s="3" t="s">
        <v>308</v>
      </c>
    </row>
    <row r="4" customFormat="false" ht="46.25" hidden="false" customHeight="false" outlineLevel="0" collapsed="false">
      <c r="A4" s="22" t="s">
        <v>15</v>
      </c>
      <c r="B4" s="5" t="s">
        <v>309</v>
      </c>
      <c r="C4" s="5" t="s">
        <v>310</v>
      </c>
      <c r="D4" s="5" t="s">
        <v>311</v>
      </c>
      <c r="E4" s="5" t="s">
        <v>312</v>
      </c>
    </row>
    <row r="5" customFormat="false" ht="46.25" hidden="false" customHeight="false" outlineLevel="0" collapsed="false">
      <c r="A5" s="22" t="s">
        <v>64</v>
      </c>
      <c r="B5" s="5" t="s">
        <v>309</v>
      </c>
      <c r="C5" s="5" t="s">
        <v>313</v>
      </c>
      <c r="D5" s="5" t="s">
        <v>314</v>
      </c>
      <c r="E5" s="5" t="s">
        <v>315</v>
      </c>
    </row>
    <row r="6" customFormat="false" ht="35.05" hidden="false" customHeight="false" outlineLevel="0" collapsed="false">
      <c r="A6" s="22" t="s">
        <v>100</v>
      </c>
      <c r="B6" s="5" t="s">
        <v>309</v>
      </c>
      <c r="C6" s="5" t="s">
        <v>316</v>
      </c>
      <c r="D6" s="5" t="s">
        <v>317</v>
      </c>
      <c r="E6" s="5" t="s">
        <v>318</v>
      </c>
    </row>
    <row r="7" customFormat="false" ht="57.45" hidden="false" customHeight="false" outlineLevel="0" collapsed="false">
      <c r="A7" s="22" t="s">
        <v>131</v>
      </c>
      <c r="B7" s="5" t="s">
        <v>309</v>
      </c>
      <c r="C7" s="5" t="s">
        <v>319</v>
      </c>
      <c r="D7" s="5" t="s">
        <v>320</v>
      </c>
      <c r="E7" s="5" t="s">
        <v>321</v>
      </c>
    </row>
    <row r="8" customFormat="false" ht="35.05" hidden="false" customHeight="false" outlineLevel="0" collapsed="false">
      <c r="A8" s="22" t="s">
        <v>162</v>
      </c>
      <c r="B8" s="5" t="s">
        <v>309</v>
      </c>
      <c r="C8" s="5" t="s">
        <v>322</v>
      </c>
      <c r="D8" s="5" t="s">
        <v>323</v>
      </c>
      <c r="E8" s="5" t="s">
        <v>324</v>
      </c>
    </row>
    <row r="9" customFormat="false" ht="46.25" hidden="false" customHeight="false" outlineLevel="0" collapsed="false">
      <c r="A9" s="22" t="s">
        <v>190</v>
      </c>
      <c r="B9" s="5" t="s">
        <v>309</v>
      </c>
      <c r="C9" s="5" t="s">
        <v>325</v>
      </c>
      <c r="D9" s="5" t="s">
        <v>326</v>
      </c>
      <c r="E9" s="5" t="s">
        <v>315</v>
      </c>
    </row>
    <row r="11" customFormat="false" ht="15" hidden="false" customHeight="false" outlineLevel="0" collapsed="false">
      <c r="A11" s="23" t="s">
        <v>327</v>
      </c>
    </row>
    <row r="12" customFormat="false" ht="31.5" hidden="false" customHeight="true" outlineLevel="0" collapsed="false">
      <c r="A12" s="24" t="s">
        <v>328</v>
      </c>
      <c r="B12" s="24"/>
      <c r="C12" s="24"/>
      <c r="D12" s="24"/>
      <c r="E12" s="24"/>
    </row>
    <row r="13" customFormat="false" ht="31.5" hidden="false" customHeight="true" outlineLevel="0" collapsed="false">
      <c r="A13" s="24" t="s">
        <v>329</v>
      </c>
      <c r="B13" s="24"/>
      <c r="C13" s="24"/>
      <c r="D13" s="24"/>
      <c r="E13" s="24"/>
    </row>
    <row r="14" customFormat="false" ht="31.5" hidden="false" customHeight="true" outlineLevel="0" collapsed="false">
      <c r="A14" s="24" t="s">
        <v>330</v>
      </c>
      <c r="B14" s="24"/>
      <c r="C14" s="24"/>
      <c r="D14" s="24"/>
      <c r="E14" s="24"/>
    </row>
    <row r="15" customFormat="false" ht="31.5" hidden="false" customHeight="true" outlineLevel="0" collapsed="false">
      <c r="A15" s="24" t="s">
        <v>331</v>
      </c>
      <c r="B15" s="24"/>
      <c r="C15" s="24"/>
      <c r="D15" s="24"/>
      <c r="E15" s="24"/>
    </row>
  </sheetData>
  <mergeCells count="4">
    <mergeCell ref="A12:E12"/>
    <mergeCell ref="A13:E13"/>
    <mergeCell ref="A14:E14"/>
    <mergeCell ref="A15:E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2026-10-16T16:02:18Z</dcterms:created>
  <dc:creator>openpyxl</dc:creator>
  <dc:description/>
  <dc:language>en-US</dc:language>
  <cp:lastModifiedBy/>
  <dcterms:modified xsi:type="dcterms:W3CDTF">2026-10-16T16:02:18Z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