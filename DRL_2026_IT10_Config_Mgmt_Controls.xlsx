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RL" sheetId="1" state="visible" r:id="rId3"/>
    <sheet name="Summary" sheetId="2" state="visible" r:id="rId4"/>
    <sheet name="Coverage Period" sheetId="3" state="visible" r:id="rId5"/>
    <sheet name="Source Mapping" sheetId="4" state="visible" r:id="rId6"/>
  </sheets>
  <definedNames>
    <definedName function="false" hidden="false" localSheetId="0" name="_xlnm.Print_Titles" vbProcedure="false">DRL!$4:$4</definedName>
    <definedName function="false" hidden="true" localSheetId="0" name="_xlnm._FilterDatabase" vbProcedure="false">DRL!$A$4:$K$53</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F6" authorId="0">
      <text>
        <r>
          <rPr>
            <sz val="10"/>
            <rFont val="Arial"/>
            <family val="2"/>
          </rPr>
          <t xml:space="preserve">Source: WP2 BSI.IT.10.C11 &gt; Control Performance Assessment &gt; Population Timeframe (10/1/2024 - 6/30/2025).</t>
        </r>
      </text>
    </comment>
    <comment ref="F7" authorId="0">
      <text>
        <r>
          <rPr>
            <sz val="10"/>
            <rFont val="Arial"/>
            <family val="2"/>
          </rPr>
          <t xml:space="preserve">Source: WP2 BSI.IT.10.C12 &gt; Control Performance Assessment &gt; Population Timeframe (10/1/2024 - 5/31/2025).</t>
        </r>
      </text>
    </comment>
    <comment ref="F8" authorId="0">
      <text>
        <r>
          <rPr>
            <sz val="10"/>
            <rFont val="Arial"/>
            <family val="2"/>
          </rPr>
          <t xml:space="preserve">Source: WP2 BSI.IT.10.C13 &gt; Control Performance Assessment &gt; Population Timeframe (10/01/2024 - 7/4/2025).</t>
        </r>
      </text>
    </comment>
    <comment ref="F9" authorId="0">
      <text>
        <r>
          <rPr>
            <sz val="10"/>
            <rFont val="Arial"/>
            <family val="2"/>
          </rPr>
          <t xml:space="preserve">Source: WP2 BSI.IT.10.C18 &gt; Control Performance Assessment &gt; Population Timeframe (10/1/2024 - 7/4/2025).</t>
        </r>
      </text>
    </comment>
    <comment ref="F10" authorId="0">
      <text>
        <r>
          <rPr>
            <sz val="10"/>
            <rFont val="Arial"/>
            <family val="2"/>
          </rPr>
          <t xml:space="preserve">Source: WP2 BSI.IT.10.C19 &gt; Control Performance Assessment &gt; Population Timeframe (10/01/2024 - 7/4/2025).</t>
        </r>
      </text>
    </comment>
    <comment ref="F11" authorId="0">
      <text>
        <r>
          <rPr>
            <sz val="10"/>
            <rFont val="Arial"/>
            <family val="2"/>
          </rPr>
          <t xml:space="preserve">Source: WP2 SBNA.IT.10.C14 &gt; Control Performance Assessment &gt; Population Timeframe (10/1/2024 - 5/31/2025).</t>
        </r>
      </text>
    </comment>
    <comment ref="G6" authorId="0">
      <text>
        <r>
          <rPr>
            <sz val="10"/>
            <rFont val="Arial"/>
            <family val="2"/>
          </rPr>
          <t xml:space="preserve">Source: IT RCSA 2026 Test Plan &gt; Export tab &gt; 'Assessment Testing Frequency'.</t>
        </r>
      </text>
    </comment>
    <comment ref="G7" authorId="0">
      <text>
        <r>
          <rPr>
            <sz val="10"/>
            <rFont val="Arial"/>
            <family val="2"/>
          </rPr>
          <t xml:space="preserve">Source: IT RCSA 2026 Test Plan &gt; Export tab &gt; 'Assessment Testing Frequency'.</t>
        </r>
      </text>
    </comment>
    <comment ref="G8" authorId="0">
      <text>
        <r>
          <rPr>
            <sz val="10"/>
            <rFont val="Arial"/>
            <family val="2"/>
          </rPr>
          <t xml:space="preserve">Source: IT RCSA 2026 Test Plan &gt; Export tab &gt; 'Assessment Testing Frequency'.</t>
        </r>
      </text>
    </comment>
    <comment ref="G9" authorId="0">
      <text>
        <r>
          <rPr>
            <sz val="10"/>
            <rFont val="Arial"/>
            <family val="2"/>
          </rPr>
          <t xml:space="preserve">Source: IT RCSA 2026 Test Plan &gt; Export tab &gt; 'Assessment Testing Frequency'.</t>
        </r>
      </text>
    </comment>
    <comment ref="G10" authorId="0">
      <text>
        <r>
          <rPr>
            <sz val="10"/>
            <rFont val="Arial"/>
            <family val="2"/>
          </rPr>
          <t xml:space="preserve">Source: IT RCSA 2026 Test Plan &gt; Export tab &gt; 'Assessment Testing Frequency'.</t>
        </r>
      </text>
    </comment>
    <comment ref="G11" authorId="0">
      <text>
        <r>
          <rPr>
            <sz val="10"/>
            <rFont val="Arial"/>
            <family val="2"/>
          </rPr>
          <t xml:space="preserve">Source: IT RCSA 2026 Test Plan &gt; Export tab &gt; 'Assessment Testing Frequency'.</t>
        </r>
      </text>
    </comment>
  </commentList>
</comments>
</file>

<file path=xl/sharedStrings.xml><?xml version="1.0" encoding="utf-8"?>
<sst xmlns="http://schemas.openxmlformats.org/spreadsheetml/2006/main" count="496" uniqueCount="249">
  <si>
    <t xml:space="preserve">Document Request List (DRL) - 2026 IT RCSA Cycle 1 - Configuration Management / Malware Protection Controls</t>
  </si>
  <si>
    <t xml:space="preserve">Please upload each item to the control's evidence folder using the Request # in the file name (e.g., 'C11-04 &lt;server name&gt;.txt'). System-generated reports must show the query/filters, run date and user who ran them. Sample-level items (marked 'For each ... sample') will be requested once IT RCSA selects samples from the population. Control owner: complete the yellow columns (Date Provided, Status, Control Owner Comments).</t>
  </si>
  <si>
    <t xml:space="preserve">Control #</t>
  </si>
  <si>
    <t xml:space="preserve">Control Statement</t>
  </si>
  <si>
    <t xml:space="preserve">Request #</t>
  </si>
  <si>
    <t xml:space="preserve">Evidence Request/Description</t>
  </si>
  <si>
    <t xml:space="preserve">Coverage Period</t>
  </si>
  <si>
    <t xml:space="preserve">NewTest Script Step</t>
  </si>
  <si>
    <t xml:space="preserve">Prior (2025) Evidence Reference</t>
  </si>
  <si>
    <t xml:space="preserve">Control Owner</t>
  </si>
  <si>
    <t xml:space="preserve">Date Provided</t>
  </si>
  <si>
    <t xml:space="preserve">Status</t>
  </si>
  <si>
    <t xml:space="preserve">Control Owner Comments</t>
  </si>
  <si>
    <t xml:space="preserve">BSI.IT.10.C11</t>
  </si>
  <si>
    <t xml:space="preserve">[BSI.IT.10.C11 Vendor Defaults] In every operation, Infrastructure teams change vendor default passwords for root or administrator accounts on Operating Systems before the server reaches install status in CMDB.</t>
  </si>
  <si>
    <t xml:space="preserve">C11-01</t>
  </si>
  <si>
    <t xml:space="preserve">Current Windows Server and Red Hat Enterprise Linux (RHEL) hardening guides / server build procedures showing the requirement to change vendor default credentials for the built-in Administrator, Guest and root accounts, and the step in the build process (before the server reaches 'Install' status in CMDB) where this is performed.</t>
  </si>
  <si>
    <t xml:space="preserve">1. Obtain Evidence</t>
  </si>
  <si>
    <t xml:space="preserve">2025 WP2 Test Procedure steps 1-2</t>
  </si>
  <si>
    <t xml:space="preserve">Ian Rojo</t>
  </si>
  <si>
    <t xml:space="preserve">C11-02</t>
  </si>
  <si>
    <t xml:space="preserve">System-generated CMDB (ServiceNow) report of ALL BSI Windows and RHEL servers that reached 'Install' status during the coverage period. Include: server name, OS and version, environment (Prod/Non-Prod), entity, created date and date moved to Install status. Provide a screenshot of the query/filters, run date and run-by user (IPE).</t>
  </si>
  <si>
    <t xml:space="preserve">3. Population &amp; Scope</t>
  </si>
  <si>
    <t xml:space="preserve">2025 population: 417 Windows &amp; Linux servers from CMDB</t>
  </si>
  <si>
    <t xml:space="preserve">C11-03</t>
  </si>
  <si>
    <t xml:space="preserve">Control owner's completeness &amp; accuracy check over the CMDB report in the prior item (e.g., reconciliation of the CMDB server list to Active Directory computer objects / virtualization console for the same period).</t>
  </si>
  <si>
    <t xml:space="preserve">2. Report Completeness &amp; Accuracy</t>
  </si>
  <si>
    <t xml:space="preserve">New for 2026 (RCSA Procedure - IPE validation)</t>
  </si>
  <si>
    <t xml:space="preserve">C11-04</t>
  </si>
  <si>
    <t xml:space="preserve">For each Windows server sample selected by IT RCSA from the population: security policy export (secedit /export /cfg c:\security_export.txt) or equivalent screenshot showing NewAdministratorName and NewGuestName changed from the vendor default and Guest account disabled. File name must contain the server name; export date visible.</t>
  </si>
  <si>
    <t xml:space="preserve">4. Control Execution</t>
  </si>
  <si>
    <t xml:space="preserve">BSI.IT.10.C11.05 Windows sample</t>
  </si>
  <si>
    <t xml:space="preserve">C11-05</t>
  </si>
  <si>
    <t xml:space="preserve">For each Windows server sample: evidence that the local Administrator password was changed from the vendor default before the CMDB Install date (e.g., LAPS password last-set / expiration attribute, or PAM vault onboarding record with date).</t>
  </si>
  <si>
    <t xml:space="preserve">New for 2026 - timing attribute in revised control statement</t>
  </si>
  <si>
    <t xml:space="preserve">C11-06</t>
  </si>
  <si>
    <t xml:space="preserve">For each RHEL server sample: command output with hostname and date visible for (a) grep PermitRootLogin /etc/ssh/sshd_config and (b) passwd -S root or chage -l root showing root password status / last change date relative to the CMDB Install date.</t>
  </si>
  <si>
    <t xml:space="preserve">BSI.IT.10.C11.06 Linux Servers</t>
  </si>
  <si>
    <t xml:space="preserve">C11-07</t>
  </si>
  <si>
    <t xml:space="preserve">List of any servers where vendor defaults could not be changed during the coverage period, with documented business justification and approval. If none, written confirmation from the control owner.</t>
  </si>
  <si>
    <t xml:space="preserve">6. Exception Handling</t>
  </si>
  <si>
    <t xml:space="preserve">2025: none noted</t>
  </si>
  <si>
    <t xml:space="preserve">C11-08</t>
  </si>
  <si>
    <t xml:space="preserve">Tickets / vulnerability or configuration-scan findings (e.g., Qualys) raised during the coverage period for default or unchanged root/administrator credentials, with remediation evidence and closure dates. If none, written confirmation.</t>
  </si>
  <si>
    <t xml:space="preserve">7. Escalation &amp; Remediation</t>
  </si>
  <si>
    <t xml:space="preserve">New for 2026</t>
  </si>
  <si>
    <t xml:space="preserve">BSI.IT.10.C12</t>
  </si>
  <si>
    <t xml:space="preserve">[BSI.IT.10.C12 Encrypt Endpoint Device] In every operation, prior to assigning a user a computer, the End User Technology (EUT) team encrypts endpoints with approved encryption algorithms and lengths.</t>
  </si>
  <si>
    <t xml:space="preserve">C12-01</t>
  </si>
  <si>
    <t xml:space="preserve">Current Encryption / Cryptography Standard listing the approved encryption algorithms and key lengths for end-user computers (Windows and macOS).</t>
  </si>
  <si>
    <t xml:space="preserve">New for 2026 - 'approved encryption algorithms and lengths'</t>
  </si>
  <si>
    <t xml:space="preserve">Cesar Rubio</t>
  </si>
  <si>
    <t xml:space="preserve">C12-02</t>
  </si>
  <si>
    <t xml:space="preserve">EUT procedure for imaging (Windows) and assignment (macOS) of user computers, showing that encryption is applied before a device is assigned and that devices which cannot be imaged/encrypted are not assigned.</t>
  </si>
  <si>
    <t xml:space="preserve">2025 WP2 control description</t>
  </si>
  <si>
    <t xml:space="preserve">C12-03</t>
  </si>
  <si>
    <t xml:space="preserve">Screenshot of the production Windows imaging task sequence (SCCM/MECM or Intune Autopilot) showing the encryption step(s) (e.g., 'Deploy MNE BitLocker' / 'Install Drive Encryption'), with last-modified date.</t>
  </si>
  <si>
    <t xml:space="preserve">BSI.IT.10.C12.03 Encryption task and algorithm</t>
  </si>
  <si>
    <t xml:space="preserve">C12-04</t>
  </si>
  <si>
    <t xml:space="preserve">Screenshot of the encryption policy configuration (GPO / Intune / Trellix ePO) showing the enforced encryption method and key length (e.g., BitLocker XTS-AES 256); for macOS, the FileVault enforcement configuration profile in the MDM.</t>
  </si>
  <si>
    <t xml:space="preserve">C12-05</t>
  </si>
  <si>
    <t xml:space="preserve">System-generated report of all user computers imaged and/or assigned to users during the coverage period: device name, OS, image date, assigned user and assignment date. Include query/filter screenshot and run date (IPE).</t>
  </si>
  <si>
    <t xml:space="preserve">New for 2026 - supports 'prior to assigning' attribute</t>
  </si>
  <si>
    <t xml:space="preserve">C12-06</t>
  </si>
  <si>
    <t xml:space="preserve">Encryption compliance report (Intune / MBAM / Trellix ePO) for all BSI endpoints as of the request date: device name, encryption status, encryption method and key length. Include report parameters and run date. List any devices still on legacy Trellix native encryption (AES-256-CBC) and the BitLocker transition status.</t>
  </si>
  <si>
    <t xml:space="preserve">5. Control Results</t>
  </si>
  <si>
    <t xml:space="preserve">2025 WP2 Summary of Results item 2</t>
  </si>
  <si>
    <t xml:space="preserve">C12-07</t>
  </si>
  <si>
    <t xml:space="preserve">For the sample device selected by IT RCSA: manage-bde -status (Windows) or fdesetup status (macOS) output showing Protection On and encryption method/key length, with device name and date visible, plus the asset assignment record showing assignment date.</t>
  </si>
  <si>
    <t xml:space="preserve">2025 sample: laptop screenshot XTS-AES 256</t>
  </si>
  <si>
    <t xml:space="preserve">C12-08</t>
  </si>
  <si>
    <t xml:space="preserve">Change history for the imaging task sequence and encryption policy during the coverage period (change tickets / ePO or Intune audit log), to confirm the automated configuration was unchanged or changes were approved (automated-control baseline).</t>
  </si>
  <si>
    <t xml:space="preserve">C12-09</t>
  </si>
  <si>
    <t xml:space="preserve">List of devices that could not be encrypted or re-imaged during the coverage period and evidence they were not assigned to users, or approved exceptions. If none, written confirmation.</t>
  </si>
  <si>
    <t xml:space="preserve">BSI.IT.10.C13</t>
  </si>
  <si>
    <t xml:space="preserve">[BSI.IT.10.C13 Config Authentication] In every operation, Infrastructure Engineering have configured strong authentication settings/policies for operating systems on premise to align with the Authentication and Authorization Standard. Exception to authentication configurations must be approved by the CISO.</t>
  </si>
  <si>
    <t xml:space="preserve">C13-01</t>
  </si>
  <si>
    <t xml:space="preserve">Current Authentication and Authorization Standard and the Windows Server and RHEL hardening guides showing required values for: minimum password length, complexity, minimum/maximum password age, password history, failed-login lockout threshold, lockout duration, reset lockout counter and idle session timeout.</t>
  </si>
  <si>
    <t xml:space="preserve">2025 WP2 Test Procedure step 3</t>
  </si>
  <si>
    <t xml:space="preserve">C13-02</t>
  </si>
  <si>
    <t xml:space="preserve">System-generated inventory (CMDB) of ALL on-premise BSI Windows and Linux (RHEL) servers in scope during the coverage period: server name, OS/version, environment, status. Include query/filter screenshot and run date (IPE).</t>
  </si>
  <si>
    <t xml:space="preserve">BSI.IT.10.C13.04 Server inventory (416 servers)</t>
  </si>
  <si>
    <t xml:space="preserve">C13-03</t>
  </si>
  <si>
    <t xml:space="preserve">Control owner's completeness &amp; accuracy check over the server inventory (e.g., reconciliation to Active Directory / virtualization console).</t>
  </si>
  <si>
    <t xml:space="preserve">New for 2026 (NewTest Script step 2)</t>
  </si>
  <si>
    <t xml:space="preserve">C13-04</t>
  </si>
  <si>
    <t xml:space="preserve">For each Windows server sample selected by IT RCSA: security export (secedit /export /cfg c:\security_export.txt) and/or applied GPO (gpresult /h) showing MinimumPasswordLength, PasswordComplexity, MinimumPasswordAge, MaximumPasswordAge, PasswordHistorySize, LockoutBadCount, LockoutDuration, ResetLockoutCount and idle session timeout. File name must contain the server name.</t>
  </si>
  <si>
    <t xml:space="preserve">BSI.IT.10.C13.05 Windows samples password.zip</t>
  </si>
  <si>
    <t xml:space="preserve">C13-05</t>
  </si>
  <si>
    <t xml:space="preserve">For each RHEL server sample: contents of /etc/login.defs, /etc/security/pwquality.conf, /etc/pam.d/system-auth and /etc/pam.d/password-auth (faillock deny / unlock_time, pwhistory remember) and the idle timeout setting (TMOUT in /etc/profile or /etc/profile.d), with hostname and date visible.</t>
  </si>
  <si>
    <t xml:space="preserve">BSI.IT.10.C13.06 Linux samples</t>
  </si>
  <si>
    <t xml:space="preserve">C13-06</t>
  </si>
  <si>
    <t xml:space="preserve">List of authentication configuration exceptions in effect during the coverage period with CISO approval evidence and business justification. If none, written confirmation.</t>
  </si>
  <si>
    <t xml:space="preserve">2025: exceptions noted without CISO approval</t>
  </si>
  <si>
    <t xml:space="preserve">C13-07</t>
  </si>
  <si>
    <t xml:space="preserve">Remediation evidence for open Action Driver 005056BCA24E1FD0B4A6A1173BF00BA4 (2025 RCSA - Config Authentication Exceptions): change tickets and configuration evidence that Windows AccountLockoutDuration was set to 15 minutes or more and idle session timeout was defined; current AD status and target date.</t>
  </si>
  <si>
    <t xml:space="preserve">2025 exceptions: AccountLockoutDuration = -1 on 10 Windows servers; idle timeout not defined</t>
  </si>
  <si>
    <t xml:space="preserve">BSI.IT.10.C18</t>
  </si>
  <si>
    <t xml:space="preserve">[BSI.IT.10.C18 Endpoint Protection] In every operation and upon imaging of a user computer, EUT installs Endpoint Protection on the user computers to detect and quarantine malicious software. Exceptions to disable malware protections on user computers are approved by the CISO (or delegate).</t>
  </si>
  <si>
    <t xml:space="preserve">C18-01</t>
  </si>
  <si>
    <t xml:space="preserve">EUT imaging / endpoint build procedure showing installation of Endpoint Protection (CrowdStrike Falcon) on user computers, and the process to request and approve exceptions to disable malware protection (CISO or delegate).</t>
  </si>
  <si>
    <t xml:space="preserve">C18-02</t>
  </si>
  <si>
    <t xml:space="preserve">Screenshot of the BigFix action configured to deploy the CrowdStrike Windows Sensor to workstations and laptops when the agent is not found (e.g., 'PERMANENT ACTION - SOFTWARE_DEPLOYMENT_CROWDSTRIKE_WINDOWS_SENSOR'), showing status, targeting/relevance, expiration (never expires) and last-modified date.</t>
  </si>
  <si>
    <t xml:space="preserve">BSI.IT.10.C18.02 CS Installed</t>
  </si>
  <si>
    <t xml:space="preserve">C18-03</t>
  </si>
  <si>
    <t xml:space="preserve">Screenshot of the workstation image / task sequence showing the CrowdStrike sensor installation step (if included in the image).</t>
  </si>
  <si>
    <t xml:space="preserve">New for 2026 - 'upon imaging' attribute</t>
  </si>
  <si>
    <t xml:space="preserve">C18-04</t>
  </si>
  <si>
    <t xml:space="preserve">CrowdStrike Falcon prevention policy applied to BSI workstations showing detection and quarantine settings enabled (e.g., Quarantine &amp; Security Center Registration, ML prevention, Quarantine on write).</t>
  </si>
  <si>
    <t xml:space="preserve">New for 2026 - 'detect and quarantine' attribute</t>
  </si>
  <si>
    <t xml:space="preserve">C18-05</t>
  </si>
  <si>
    <t xml:space="preserve">System-generated list of user computers imaged during the coverage period (SCCM/Intune/BigFix): device name, image date. Include query/filter screenshot and run date (IPE).</t>
  </si>
  <si>
    <t xml:space="preserve">C18-06</t>
  </si>
  <si>
    <t xml:space="preserve">CrowdStrike Falcon host management export for BSI workstations/laptops as of the request date (hostname, first seen, last seen, sensor version, prevention policy) and the control owner's reconciliation to the imaged-device list / AD computer objects identifying any devices without the agent.</t>
  </si>
  <si>
    <t xml:space="preserve">New for 2026 (NewTest Script step 2-3)</t>
  </si>
  <si>
    <t xml:space="preserve">C18-07</t>
  </si>
  <si>
    <t xml:space="preserve">For each device sample selected by IT RCSA: Falcon console host-detail screenshot showing sensor installed and active, sensor version and first-seen date relative to the image date.</t>
  </si>
  <si>
    <t xml:space="preserve">C18-08</t>
  </si>
  <si>
    <t xml:space="preserve">List of user computers with malware protection disabled, sensor removed or placed in an exclusion/bypass group during the coverage period, with CISO (or delegate) approval. If none, written confirmation.</t>
  </si>
  <si>
    <t xml:space="preserve">C18-09</t>
  </si>
  <si>
    <t xml:space="preserve">Tickets for devices found without the agent or with the agent disabled during the coverage period, with remediation evidence. Change history for the BigFix action and Falcon prevention policy during the period.</t>
  </si>
  <si>
    <t xml:space="preserve">BSI.IT.10.C19</t>
  </si>
  <si>
    <t xml:space="preserve">[BSI.IT.10.C19 Server Protection] In every operation and upon imaging of a server, Infrastructure Engineering installs Endpoint Protection on the server to mitigate the risk of any malicious software. Exceptions to disable malware protections on server are approved by the CISO (or delegate).</t>
  </si>
  <si>
    <t xml:space="preserve">C19-01</t>
  </si>
  <si>
    <t xml:space="preserve">Server build / imaging procedures (Windows and RHEL) showing installation of Endpoint Protection (CrowdStrike Falcon) on servers, and the process to request and approve exceptions to disable malware protection (CISO or delegate).</t>
  </si>
  <si>
    <t xml:space="preserve">2025 WP2 Test Procedure</t>
  </si>
  <si>
    <t xml:space="preserve">C19-02</t>
  </si>
  <si>
    <t xml:space="preserve">System-generated ServiceNow / CMDB query of ALL BSI Windows and Linux (RHEL) servers created during the coverage period: server name, OS, environment, created date, install status. Include screenshot of query/filters, run date and run-by user (IPE).</t>
  </si>
  <si>
    <t xml:space="preserve">BSI.IT.10.C19.05 Linux Server Population sample and Query</t>
  </si>
  <si>
    <t xml:space="preserve">C19-03</t>
  </si>
  <si>
    <t xml:space="preserve">CrowdStrike Falcon host management export for BSI servers as of the request date (hostname, OS, first seen, last seen, sensor version, prevention policy) and the control owner's reconciliation of the new-server population to the Falcon export.</t>
  </si>
  <si>
    <t xml:space="preserve">New for 2026 (NewTest Script steps 2-3)</t>
  </si>
  <si>
    <t xml:space="preserve">C19-04</t>
  </si>
  <si>
    <t xml:space="preserve">Windows: screenshot of the BigFix action configured to deploy the CrowdStrike Windows Sensor to servers when the agent is not found (status, targeting, never-expires, last modified) and the server image/boot sequence showing the sensor installed.</t>
  </si>
  <si>
    <t xml:space="preserve">BSI.IT.10.C19.03 Testing to show CS agent install</t>
  </si>
  <si>
    <t xml:space="preserve">C19-05</t>
  </si>
  <si>
    <t xml:space="preserve">Linux: for each new-server sample selected by IT RCSA, Falcon console host-detail screenshot or command output (systemctl status falcon-sensor; /opt/CrowdStrike/falconctl -g --version --rfm-state) showing sensor installed and running, with first-seen date compared to server creation date.</t>
  </si>
  <si>
    <t xml:space="preserve">C19-06</t>
  </si>
  <si>
    <t xml:space="preserve">CrowdStrike Falcon prevention policy applied to BSI servers showing malware detection/prevention enabled.</t>
  </si>
  <si>
    <t xml:space="preserve">C19-07</t>
  </si>
  <si>
    <t xml:space="preserve">List of servers without CrowdStrike or with protection disabled/excluded during the coverage period, with CISO (or delegate) approval. If none, written confirmation.</t>
  </si>
  <si>
    <t xml:space="preserve">C19-08</t>
  </si>
  <si>
    <t xml:space="preserve">Tickets for servers identified without Endpoint Protection and lacking an approved exception, showing escalation to the responsible support group and remediation. If none, written confirmation.</t>
  </si>
  <si>
    <t xml:space="preserve">New for 2026 (NewTest Script step 7)</t>
  </si>
  <si>
    <t xml:space="preserve">SBNA.IT.10.C14</t>
  </si>
  <si>
    <t xml:space="preserve">[SBNA.IT.10.C14 MDM Config] In every operation, Mobile Device Management (MDM) is configured on company owned mobile phones and BYOD (smartphones and tablets) prior to allowing access to the company's network and/or systems. Phones without MDM are not able to access company networks or resources.</t>
  </si>
  <si>
    <t xml:space="preserve">C14-01</t>
  </si>
  <si>
    <t xml:space="preserve">Mobile Device Security Standard / MDM configuration baseline in effect for the coverage period, and confirmation of entities in scope (SBNA, SC, BSI, BSNY, SANCAP) and BYOD participation (BSI excluded from BYOD).</t>
  </si>
  <si>
    <t xml:space="preserve">Jean Paul Merymo</t>
  </si>
  <si>
    <t xml:space="preserve">C14-02</t>
  </si>
  <si>
    <t xml:space="preserve">Corporate-owned devices - Microsoft Intune admin center screenshots of: (1.1) Company Portal cannot be uninstalled / unenrollment blocked; (1.2) corporate passcode policy; (1.3) jailbreak/root block; (1.4) auto-wipe after 10 failed logons, jailbroken, lost/stolen (Lost Mode); (1.5) lock after 5 minutes of inactivity; (1.6) app protection - block AirDrop, prevent backups, block saving copies, restrict printing and web content transfer; (1.7) minimum OS version compliance; (1.8) data-in-transit encryption; (1.9) data-at-rest encryption; (1.10) serial number / IMEI in Apple Business Manager / Intune; (1.11) block App Store; (1.12) Apple ID modification, FaceTime and iMessage blocked.</t>
  </si>
  <si>
    <t xml:space="preserve">SBNA.IT.10.C14.04 Test Results Tabs 1.1-1.12</t>
  </si>
  <si>
    <t xml:space="preserve">C14-03</t>
  </si>
  <si>
    <t xml:space="preserve">BYOD devices (iOS and Android) - Intune screenshots of: (2.1) jailbreak/root block in BYOD compliance policies; (2.2) app protection - prevent moving/copy-paste of company data outside the managed area, block AirDrop/printing/Mail Drop, block opening data into org documents; (2.3) selective wipe of container for jailbroken and lost/stolen devices; (2.4) DLP - save-copies restrictions, receive-data and cut/copy/paste restrictions; (2.5) managed-area access requirements; (2.6) device metadata logged; (2.7) minimum OS version compliance; (2.8) data-in-transit and (2.9) data-at-rest encryption; (2.10) BYOD passcode policy.</t>
  </si>
  <si>
    <t xml:space="preserve">SBNA.IT.10.C14.04 Test Results Tabs 2.1-2.10</t>
  </si>
  <si>
    <t xml:space="preserve">C14-04</t>
  </si>
  <si>
    <t xml:space="preserve">MDM server - (3.1) Intune Device Actions report / audit log for the coverage period; (3.2) Intune RBAC role assignments and membership of the Intune Helpdesk and MDM Admin groups as of the request date; (3.3) SCEP and Wi-Fi certificate configuration profiles.</t>
  </si>
  <si>
    <t xml:space="preserve">SBNA.IT.10.C14.04 Tabs 3.1-3.2; C14.05 / C14.06 group listings; C14.07 iOS Wi-Fi</t>
  </si>
  <si>
    <t xml:space="preserve">C14-05</t>
  </si>
  <si>
    <t xml:space="preserve">Entra ID (Azure AD) Conditional Access policy(ies) requiring a compliant/MDM-enrolled device or approved app protection policy before access to corporate resources (Exchange Online, Teams, SharePoint/OneDrive, VPN/Wi-Fi), with assignments and grant controls visible.</t>
  </si>
  <si>
    <t xml:space="preserve">New for 2026 - 'phones without MDM are not able to access' attribute</t>
  </si>
  <si>
    <t xml:space="preserve">C14-06</t>
  </si>
  <si>
    <t xml:space="preserve">Intune export of ALL registered mobile devices as of the request date: device owner, ownership (Corporate/Personal), enrollment date, device state, OS/version, compliance status, join type, jailbroken, encrypted, management certificate expiration, entity / scope tag. Include export parameters and run date (IPE).</t>
  </si>
  <si>
    <t xml:space="preserve">SBNA.IT.10.C14.08 INTUNE Data.xlsx</t>
  </si>
  <si>
    <t xml:space="preserve">C14-07</t>
  </si>
  <si>
    <t xml:space="preserve">Explanation and supporting evidence for any devices shown as non-compliant, not encrypted, or outside the expected scope tag in the export (e.g., devices in initial setup, test devices, devices incorrectly tagged MOB_US), including status of the 2025 scope-tag clean-up request.</t>
  </si>
  <si>
    <t xml:space="preserve">SBNA.IT.10.C14.09 Clarification of Evidences - MDM Encryption.zip</t>
  </si>
  <si>
    <t xml:space="preserve">C14-08</t>
  </si>
  <si>
    <t xml:space="preserve">Intune audit log of changes to the compliance, configuration, app protection and Conditional Access policies during the coverage period, with related change tickets/approvals.</t>
  </si>
  <si>
    <t xml:space="preserve">DRL Summary by Control</t>
  </si>
  <si>
    <t xml:space="preserve">Control Name</t>
  </si>
  <si>
    <t xml:space="preserve">Heracles ID</t>
  </si>
  <si>
    <t xml:space="preserve">Nature</t>
  </si>
  <si>
    <t xml:space="preserve">Inherent Risk</t>
  </si>
  <si>
    <t xml:space="preserve"># Requests</t>
  </si>
  <si>
    <t xml:space="preserve"># Provided / Closed</t>
  </si>
  <si>
    <t xml:space="preserve"># Open</t>
  </si>
  <si>
    <t xml:space="preserve">Vendor Defaults</t>
  </si>
  <si>
    <t xml:space="preserve">Hybrid / Semi-Automated</t>
  </si>
  <si>
    <t xml:space="preserve">High</t>
  </si>
  <si>
    <t xml:space="preserve">Encrypt Endpoint Device</t>
  </si>
  <si>
    <t xml:space="preserve">Automated</t>
  </si>
  <si>
    <t xml:space="preserve">Config Authentication</t>
  </si>
  <si>
    <t xml:space="preserve">Endpoint Protection</t>
  </si>
  <si>
    <t xml:space="preserve">Server Protection</t>
  </si>
  <si>
    <t xml:space="preserve">MDM Config</t>
  </si>
  <si>
    <t xml:space="preserve">Moderate</t>
  </si>
  <si>
    <t xml:space="preserve">Total</t>
  </si>
  <si>
    <t xml:space="preserve">Coverage Period Calculation - 2026 IT RCSA Cycle 1 (scheduled 05/04/2026 - 06/12/2026)</t>
  </si>
  <si>
    <t xml:space="preserve">Rule (RCSA Testing Procedure (CUSO) 07.17.2026, s.4.4.2 Population and Sampling): Annual tests = 12-month population timeframe; Semi-Annual tests = 6-month timeframe. The start date is the day after the last day of the previous testing timeframe (2025 WP2 &gt; Control Performance Assessment &gt; Population Timeframe).</t>
  </si>
  <si>
    <t xml:space="preserve">Yellow cells are inputs - edit the Prior Timeframe End Date or Months and the coverage period (and the DRL tab) recalculate. Shaded rows need confirmation (see Notes).</t>
  </si>
  <si>
    <t xml:space="preserve">2025 WP2 Population Timeframe</t>
  </si>
  <si>
    <t xml:space="preserve">2025 WP2 Test Date</t>
  </si>
  <si>
    <t xml:space="preserve">Last GRC Assessment (Rating)</t>
  </si>
  <si>
    <t xml:space="preserve">Prior Timeframe End Date</t>
  </si>
  <si>
    <t xml:space="preserve">2026 Assessment Testing Frequency</t>
  </si>
  <si>
    <t xml:space="preserve">Months in Timeframe</t>
  </si>
  <si>
    <t xml:space="preserve">Coverage Start</t>
  </si>
  <si>
    <t xml:space="preserve">Coverage End</t>
  </si>
  <si>
    <t xml:space="preserve">Notes</t>
  </si>
  <si>
    <t xml:space="preserve">10/1/2024 - 6/30/2025</t>
  </si>
  <si>
    <t xml:space="preserve">07/10/2025</t>
  </si>
  <si>
    <t xml:space="preserve">12/22/2025 (Satisfactory)</t>
  </si>
  <si>
    <t xml:space="preserve">Annual</t>
  </si>
  <si>
    <t xml:space="preserve">CONFIRM: WP2 provided is 2025 Cycle 1 (test date 7/10/2025). GRC shows a later assessment on 12/22/2025 (2025 Cycle 2, remaining samples). If that Cycle 2 population ran past 6/30/2025, change the Prior Timeframe End Date to its end date - coverage recalculates. 2026 statement now scopes to OS root/administrator accounts only; Oracle/SQL DB defaults tested in 2025 now sit under BSI.IT.10.C10.</t>
  </si>
  <si>
    <t xml:space="preserve">10/1/2024 - 5/31/2025</t>
  </si>
  <si>
    <t xml:space="preserve">07/09/2025</t>
  </si>
  <si>
    <t xml:space="preserve">07/15/2025 (Strong)</t>
  </si>
  <si>
    <t xml:space="preserve">2026 statement changed from 2025 ('during the imaging process (Windows) or assignment (MAC)') to 'prior to assigning a user a computer ... approved encryption algorithms and lengths' - request now includes the assignment-date attribute and the approved-algorithm standard.</t>
  </si>
  <si>
    <t xml:space="preserve">10/01/2024 - 7/4/2025</t>
  </si>
  <si>
    <t xml:space="preserve">12/19/2025 (Weak - Ineffective)</t>
  </si>
  <si>
    <t xml:space="preserve">Semi-Annual</t>
  </si>
  <si>
    <t xml:space="preserve">CONFIRM: Control is Semi-Annual (Weak on 12/19/2025) with open Action Driver 005056BCA24E1FD0B4A6A1173BF00BA4 (target 9/30/2026). Per RCSA Testing Procedure s.4.1.3, CPA cannot be performed while an AD is open - confirm with Testing Manager whether this is CPA or sustainability testing. WP2 provided is 2025 Cycle 1; if the 12/19/2025 Cycle 2 population ran past 7/4/2025, update the Prior Timeframe End Date.</t>
  </si>
  <si>
    <t xml:space="preserve">10/1/2024 - 7/4/2025</t>
  </si>
  <si>
    <t xml:space="preserve">07/01/2025</t>
  </si>
  <si>
    <t xml:space="preserve">08/06/2025 (Strong)</t>
  </si>
  <si>
    <t xml:space="preserve">Coverage end (7/4/2026) falls after the Cycle 1 window (5/4/2026 - 6/12/2026): population is pulled through the date of the request; any remaining days roll into the next timeframe.</t>
  </si>
  <si>
    <t xml:space="preserve">08/14/2025 (Satisfactory)</t>
  </si>
  <si>
    <t xml:space="preserve">06/06/2025</t>
  </si>
  <si>
    <t xml:space="preserve">07/02/2025 (Satisfactory)</t>
  </si>
  <si>
    <t xml:space="preserve">Entities in scope: SBNA, SC, BSI, BSNY, SANCAP. BSI does not participate in BYOD (per 2025 WP2).</t>
  </si>
  <si>
    <t xml:space="preserve">Sources Used to Build the DRL</t>
  </si>
  <si>
    <t xml:space="preserve">2026 Control Statement Source</t>
  </si>
  <si>
    <t xml:space="preserve">Test Script Source (IT RCSA 2026 Test Plan &gt; New test scripts)</t>
  </si>
  <si>
    <t xml:space="preserve">Prior Evidence Source</t>
  </si>
  <si>
    <t xml:space="preserve">Coverage Period Source</t>
  </si>
  <si>
    <t xml:space="preserve">IT RCSA 2026 Test Plan &gt; Control Inventory (Control Description), agrees to Export tab (GRC).</t>
  </si>
  <si>
    <t xml:space="preserve">No exact match in 'New test scripts'. Script structure taken from BSI.IT.10.C10 Vendor Defaults DB (row 76) - same Vendor Defaults family - and tailored to OS root/administrator accounts.</t>
  </si>
  <si>
    <t xml:space="preserve">WP2 BSI.IT.10.C11 Vendor Defaults.xlsm &gt; Control Performance Assessment (Test Procedure, Summary of Results, Supporting Evidence per Attribute).</t>
  </si>
  <si>
    <t xml:space="preserve">WP2 Population Timeframe 10/1/2024 - 6/30/2025 + RCSA Testing Procedure (CUSO) 07.17.2026 s.4.4.2; frequency from 2026 Test Plan Export tab (Annual).</t>
  </si>
  <si>
    <t xml:space="preserve">No exact or analog match in 'New test scripts'. Requests follow the standard 9-step NewTest Script structure (Obtain Evidence &gt; Report C&amp;A &gt; Population &gt; Execution &gt; Results &gt; Exceptions &gt; Escalation).</t>
  </si>
  <si>
    <t xml:space="preserve">WP2 BSI.IT.10.C12 Encrypt Endpoint Device.xlsm &gt; Control Performance Assessment (Test Procedure, Summary of Results, Supporting Evidence per Attribute).</t>
  </si>
  <si>
    <t xml:space="preserve">WP2 Population Timeframe 10/1/2024 - 5/31/2025 + RCSA Testing Procedure (CUSO) 07.17.2026 s.4.4.2; frequency from 2026 Test Plan Export tab (Annual).</t>
  </si>
  <si>
    <t xml:space="preserve">Matched to SBNA.IT.10.C13 Config Authentication (row 79) - identical control statement for the SBNA entity.</t>
  </si>
  <si>
    <t xml:space="preserve">WP2 BSI.IT.10.C13 Config Authentication.xlsm &gt; Control Performance Assessment (Test Procedure, Summary of Results, Supporting Evidence per Attribute).</t>
  </si>
  <si>
    <t xml:space="preserve">WP2 Population Timeframe 10/01/2024 - 7/4/2025 + RCSA Testing Procedure (CUSO) 07.17.2026 s.4.4.2; frequency from 2026 Test Plan Export tab (Semi-Annual).</t>
  </si>
  <si>
    <t xml:space="preserve">No exact match in 'New test scripts'. Script structure adapted from SBNA.IT.10.C19 Server Protection (row 81) - same CrowdStrike / BigFix endpoint protection mechanism, applied to user computers.</t>
  </si>
  <si>
    <t xml:space="preserve">WP2 BSI.IT.10.C18 Endpoint Protection.xlsm &gt; Control Performance Assessment (Test Procedure, Summary of Results, Supporting Evidence per Attribute).</t>
  </si>
  <si>
    <t xml:space="preserve">WP2 Population Timeframe 10/1/2024 - 7/4/2025 + RCSA Testing Procedure (CUSO) 07.17.2026 s.4.4.2; frequency from 2026 Test Plan Export tab (Annual).</t>
  </si>
  <si>
    <t xml:space="preserve">Matched to SBNA.IT.10.C19 Server Protection (row 81) - identical control statement for the SBNA entity.</t>
  </si>
  <si>
    <t xml:space="preserve">WP2 BSI.IT.10.C19 Server Protection.xlsm &gt; Control Performance Assessment (Test Procedure, Summary of Results, Supporting Evidence per Attribute).</t>
  </si>
  <si>
    <t xml:space="preserve">WP2 Population Timeframe 10/01/2024 - 7/4/2025 + RCSA Testing Procedure (CUSO) 07.17.2026 s.4.4.2; frequency from 2026 Test Plan Export tab (Annual).</t>
  </si>
  <si>
    <t xml:space="preserve">No exact or analog match in 'New test scripts' (SBNA.IT.5.C11b MDM Access Mgmt is a different access-management control). Requests follow the standard 9-step NewTest Script structure and the 2025 configuration attribute list.</t>
  </si>
  <si>
    <t xml:space="preserve">WP2 SBNA.IT.10.C14 MDM Config.xlsm &gt; Control Performance Assessment (Test Procedure, Summary of Results, Supporting Evidence per Attribute).</t>
  </si>
  <si>
    <t xml:space="preserve">Other references</t>
  </si>
  <si>
    <t xml:space="preserve">RCSA Testing Procedure s.4.4.5 Evidence Request - population and sample requests are sent to the BU BCO / control owner via the DRL.</t>
  </si>
  <si>
    <t xml:space="preserve">RCSA Testing Procedure s.4.1.3 - controls with open Action Drivers cannot be tested for CDA/CPA until remediation is complete (applies to BSI.IT.10.C13).</t>
  </si>
  <si>
    <t xml:space="preserve">RCSA Testing Procedure Appendix (Key Reports / IPE) - capture report name, parameters (date range, filters) and completeness &amp; accuracy validation for population reports.</t>
  </si>
  <si>
    <t xml:space="preserve">NewTest Script 9-step structure: 1 Obtain Evidence, 2 Report Completeness &amp; Accuracy, 3 Population &amp; Scope, 4 Control Execution, 5 Control Results, 6 Exception Handling, 7 Escalation &amp; Remediation, 8 Risk Mitigation, 9 Testing Coverage (steps 8-9 are tester conclusions, no evidence request).</t>
  </si>
</sst>
</file>

<file path=xl/styles.xml><?xml version="1.0" encoding="utf-8"?>
<styleSheet xmlns="http://schemas.openxmlformats.org/spreadsheetml/2006/main">
  <numFmts count="2">
    <numFmt numFmtId="164" formatCode="General"/>
    <numFmt numFmtId="165" formatCode="mm/dd/yyyy"/>
  </numFmts>
  <fonts count="15">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sz val="10"/>
      <color rgb="FF008000"/>
      <name val="Arial"/>
      <family val="0"/>
      <charset val="1"/>
    </font>
    <font>
      <sz val="10"/>
      <color rgb="FFC00000"/>
      <name val="Arial"/>
      <family val="0"/>
      <charset val="1"/>
    </font>
    <font>
      <sz val="10"/>
      <color rgb="FF0000FF"/>
      <name val="Arial"/>
      <family val="0"/>
      <charset val="1"/>
    </font>
    <font>
      <b val="true"/>
      <sz val="10"/>
      <name val="Arial"/>
      <family val="0"/>
      <charset val="1"/>
    </font>
    <font>
      <sz val="10"/>
      <name val="Arial"/>
      <family val="2"/>
    </font>
    <font>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1F2"/>
        <bgColor rgb="FFFCE4D6"/>
      </patternFill>
    </fill>
    <fill>
      <patternFill patternType="solid">
        <fgColor rgb="FFFCE4D6"/>
        <bgColor rgb="FFD9E1F2"/>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5" fontId="8"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5" fontId="11" fillId="3"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5" fontId="8" fillId="5"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FFFF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5"/>
    <col collapsed="false" customWidth="true" hidden="false" outlineLevel="0" max="3" min="3" style="0" width="9"/>
    <col collapsed="false" customWidth="true" hidden="false" outlineLevel="0" max="4" min="4" style="0" width="75"/>
    <col collapsed="false" customWidth="true" hidden="false" outlineLevel="0" max="5" min="5" style="0" width="24"/>
    <col collapsed="false" customWidth="true" hidden="false" outlineLevel="0" max="6" min="6" style="0" width="18"/>
    <col collapsed="false" customWidth="true" hidden="false" outlineLevel="0" max="7" min="7" style="0" width="32"/>
    <col collapsed="false" customWidth="true" hidden="false" outlineLevel="0" max="8" min="8" style="0" width="14"/>
    <col collapsed="false" customWidth="true" hidden="false" outlineLevel="0" max="9" min="9" style="0" width="12"/>
    <col collapsed="false" customWidth="true" hidden="false" outlineLevel="0" max="10" min="10" style="0" width="14"/>
    <col collapsed="false" customWidth="true" hidden="false" outlineLevel="0" max="11" min="11" style="0" width="30"/>
  </cols>
  <sheetData>
    <row r="1" customFormat="false" ht="16.15" hidden="false" customHeight="false" outlineLevel="0" collapsed="false">
      <c r="A1" s="1" t="s">
        <v>0</v>
      </c>
    </row>
    <row r="2" customFormat="false" ht="45" hidden="false" customHeight="true" outlineLevel="0" collapsed="false">
      <c r="A2" s="2" t="s">
        <v>1</v>
      </c>
      <c r="B2" s="2"/>
      <c r="C2" s="2"/>
      <c r="D2" s="2"/>
      <c r="E2" s="2"/>
      <c r="F2" s="2"/>
      <c r="G2" s="2"/>
      <c r="H2" s="2"/>
      <c r="I2" s="2"/>
      <c r="J2" s="2"/>
      <c r="K2" s="2"/>
    </row>
    <row r="4" customFormat="false" ht="23.85" hidden="false" customHeight="false" outlineLevel="0" collapsed="false">
      <c r="A4" s="3" t="s">
        <v>2</v>
      </c>
      <c r="B4" s="3" t="s">
        <v>3</v>
      </c>
      <c r="C4" s="3" t="s">
        <v>4</v>
      </c>
      <c r="D4" s="3" t="s">
        <v>5</v>
      </c>
      <c r="E4" s="3" t="s">
        <v>6</v>
      </c>
      <c r="F4" s="3" t="s">
        <v>7</v>
      </c>
      <c r="G4" s="3" t="s">
        <v>8</v>
      </c>
      <c r="H4" s="3" t="s">
        <v>9</v>
      </c>
      <c r="I4" s="3" t="s">
        <v>10</v>
      </c>
      <c r="J4" s="3" t="s">
        <v>11</v>
      </c>
      <c r="K4" s="3" t="s">
        <v>12</v>
      </c>
    </row>
    <row r="5" customFormat="false" ht="57.45" hidden="false" customHeight="false" outlineLevel="0" collapsed="false">
      <c r="A5" s="4" t="s">
        <v>13</v>
      </c>
      <c r="B5" s="5" t="s">
        <v>14</v>
      </c>
      <c r="C5" s="6" t="s">
        <v>15</v>
      </c>
      <c r="D5" s="5" t="s">
        <v>16</v>
      </c>
      <c r="E5" s="7" t="str">
        <f aca="false">'Coverage Period'!K6</f>
        <v>07/01/2025 - 06/30/2026</v>
      </c>
      <c r="F5" s="5" t="s">
        <v>17</v>
      </c>
      <c r="G5" s="5" t="s">
        <v>18</v>
      </c>
      <c r="H5" s="6" t="s">
        <v>19</v>
      </c>
      <c r="I5" s="8"/>
      <c r="J5" s="9"/>
      <c r="K5" s="10"/>
    </row>
    <row r="6" customFormat="false" ht="57.45" hidden="false" customHeight="false" outlineLevel="0" collapsed="false">
      <c r="A6" s="4" t="s">
        <v>13</v>
      </c>
      <c r="B6" s="5" t="s">
        <v>14</v>
      </c>
      <c r="C6" s="6" t="s">
        <v>20</v>
      </c>
      <c r="D6" s="5" t="s">
        <v>21</v>
      </c>
      <c r="E6" s="7" t="str">
        <f aca="false">'Coverage Period'!K6</f>
        <v>07/01/2025 - 06/30/2026</v>
      </c>
      <c r="F6" s="5" t="s">
        <v>22</v>
      </c>
      <c r="G6" s="5" t="s">
        <v>23</v>
      </c>
      <c r="H6" s="6" t="s">
        <v>19</v>
      </c>
      <c r="I6" s="8"/>
      <c r="J6" s="9"/>
      <c r="K6" s="10"/>
    </row>
    <row r="7" customFormat="false" ht="57.45" hidden="false" customHeight="false" outlineLevel="0" collapsed="false">
      <c r="A7" s="4" t="s">
        <v>13</v>
      </c>
      <c r="B7" s="5" t="s">
        <v>14</v>
      </c>
      <c r="C7" s="6" t="s">
        <v>24</v>
      </c>
      <c r="D7" s="5" t="s">
        <v>25</v>
      </c>
      <c r="E7" s="7" t="str">
        <f aca="false">'Coverage Period'!K6</f>
        <v>07/01/2025 - 06/30/2026</v>
      </c>
      <c r="F7" s="5" t="s">
        <v>26</v>
      </c>
      <c r="G7" s="5" t="s">
        <v>27</v>
      </c>
      <c r="H7" s="6" t="s">
        <v>19</v>
      </c>
      <c r="I7" s="8"/>
      <c r="J7" s="9"/>
      <c r="K7" s="10"/>
    </row>
    <row r="8" customFormat="false" ht="57.45" hidden="false" customHeight="false" outlineLevel="0" collapsed="false">
      <c r="A8" s="4" t="s">
        <v>13</v>
      </c>
      <c r="B8" s="5" t="s">
        <v>14</v>
      </c>
      <c r="C8" s="6" t="s">
        <v>28</v>
      </c>
      <c r="D8" s="5" t="s">
        <v>29</v>
      </c>
      <c r="E8" s="7" t="str">
        <f aca="false">'Coverage Period'!K6</f>
        <v>07/01/2025 - 06/30/2026</v>
      </c>
      <c r="F8" s="5" t="s">
        <v>30</v>
      </c>
      <c r="G8" s="5" t="s">
        <v>31</v>
      </c>
      <c r="H8" s="6" t="s">
        <v>19</v>
      </c>
      <c r="I8" s="8"/>
      <c r="J8" s="9"/>
      <c r="K8" s="10"/>
    </row>
    <row r="9" customFormat="false" ht="57.45" hidden="false" customHeight="false" outlineLevel="0" collapsed="false">
      <c r="A9" s="4" t="s">
        <v>13</v>
      </c>
      <c r="B9" s="5" t="s">
        <v>14</v>
      </c>
      <c r="C9" s="6" t="s">
        <v>32</v>
      </c>
      <c r="D9" s="5" t="s">
        <v>33</v>
      </c>
      <c r="E9" s="7" t="str">
        <f aca="false">'Coverage Period'!K6</f>
        <v>07/01/2025 - 06/30/2026</v>
      </c>
      <c r="F9" s="5" t="s">
        <v>30</v>
      </c>
      <c r="G9" s="5" t="s">
        <v>34</v>
      </c>
      <c r="H9" s="6" t="s">
        <v>19</v>
      </c>
      <c r="I9" s="8"/>
      <c r="J9" s="9"/>
      <c r="K9" s="10"/>
    </row>
    <row r="10" customFormat="false" ht="57.45" hidden="false" customHeight="false" outlineLevel="0" collapsed="false">
      <c r="A10" s="4" t="s">
        <v>13</v>
      </c>
      <c r="B10" s="5" t="s">
        <v>14</v>
      </c>
      <c r="C10" s="6" t="s">
        <v>35</v>
      </c>
      <c r="D10" s="5" t="s">
        <v>36</v>
      </c>
      <c r="E10" s="7" t="str">
        <f aca="false">'Coverage Period'!K6</f>
        <v>07/01/2025 - 06/30/2026</v>
      </c>
      <c r="F10" s="5" t="s">
        <v>30</v>
      </c>
      <c r="G10" s="5" t="s">
        <v>37</v>
      </c>
      <c r="H10" s="6" t="s">
        <v>19</v>
      </c>
      <c r="I10" s="8"/>
      <c r="J10" s="9"/>
      <c r="K10" s="10"/>
    </row>
    <row r="11" customFormat="false" ht="57.45" hidden="false" customHeight="false" outlineLevel="0" collapsed="false">
      <c r="A11" s="4" t="s">
        <v>13</v>
      </c>
      <c r="B11" s="5" t="s">
        <v>14</v>
      </c>
      <c r="C11" s="6" t="s">
        <v>38</v>
      </c>
      <c r="D11" s="5" t="s">
        <v>39</v>
      </c>
      <c r="E11" s="7" t="str">
        <f aca="false">'Coverage Period'!K6</f>
        <v>07/01/2025 - 06/30/2026</v>
      </c>
      <c r="F11" s="5" t="s">
        <v>40</v>
      </c>
      <c r="G11" s="5" t="s">
        <v>41</v>
      </c>
      <c r="H11" s="6" t="s">
        <v>19</v>
      </c>
      <c r="I11" s="8"/>
      <c r="J11" s="9"/>
      <c r="K11" s="10"/>
    </row>
    <row r="12" customFormat="false" ht="57.45" hidden="false" customHeight="false" outlineLevel="0" collapsed="false">
      <c r="A12" s="4" t="s">
        <v>13</v>
      </c>
      <c r="B12" s="5" t="s">
        <v>14</v>
      </c>
      <c r="C12" s="6" t="s">
        <v>42</v>
      </c>
      <c r="D12" s="5" t="s">
        <v>43</v>
      </c>
      <c r="E12" s="7" t="str">
        <f aca="false">'Coverage Period'!K6</f>
        <v>07/01/2025 - 06/30/2026</v>
      </c>
      <c r="F12" s="5" t="s">
        <v>44</v>
      </c>
      <c r="G12" s="5" t="s">
        <v>45</v>
      </c>
      <c r="H12" s="6" t="s">
        <v>19</v>
      </c>
      <c r="I12" s="8"/>
      <c r="J12" s="9"/>
      <c r="K12" s="10"/>
    </row>
    <row r="13" customFormat="false" ht="46.25" hidden="false" customHeight="false" outlineLevel="0" collapsed="false">
      <c r="A13" s="4" t="s">
        <v>46</v>
      </c>
      <c r="B13" s="5" t="s">
        <v>47</v>
      </c>
      <c r="C13" s="6" t="s">
        <v>48</v>
      </c>
      <c r="D13" s="5" t="s">
        <v>49</v>
      </c>
      <c r="E13" s="7" t="str">
        <f aca="false">'Coverage Period'!K7</f>
        <v>06/01/2025 - 05/31/2026</v>
      </c>
      <c r="F13" s="5" t="s">
        <v>17</v>
      </c>
      <c r="G13" s="5" t="s">
        <v>50</v>
      </c>
      <c r="H13" s="6" t="s">
        <v>51</v>
      </c>
      <c r="I13" s="8"/>
      <c r="J13" s="9"/>
      <c r="K13" s="10"/>
    </row>
    <row r="14" customFormat="false" ht="46.25" hidden="false" customHeight="false" outlineLevel="0" collapsed="false">
      <c r="A14" s="4" t="s">
        <v>46</v>
      </c>
      <c r="B14" s="5" t="s">
        <v>47</v>
      </c>
      <c r="C14" s="6" t="s">
        <v>52</v>
      </c>
      <c r="D14" s="5" t="s">
        <v>53</v>
      </c>
      <c r="E14" s="7" t="str">
        <f aca="false">'Coverage Period'!K7</f>
        <v>06/01/2025 - 05/31/2026</v>
      </c>
      <c r="F14" s="5" t="s">
        <v>17</v>
      </c>
      <c r="G14" s="5" t="s">
        <v>54</v>
      </c>
      <c r="H14" s="6" t="s">
        <v>51</v>
      </c>
      <c r="I14" s="8"/>
      <c r="J14" s="9"/>
      <c r="K14" s="10"/>
    </row>
    <row r="15" customFormat="false" ht="46.25" hidden="false" customHeight="false" outlineLevel="0" collapsed="false">
      <c r="A15" s="4" t="s">
        <v>46</v>
      </c>
      <c r="B15" s="5" t="s">
        <v>47</v>
      </c>
      <c r="C15" s="6" t="s">
        <v>55</v>
      </c>
      <c r="D15" s="5" t="s">
        <v>56</v>
      </c>
      <c r="E15" s="7" t="str">
        <f aca="false">'Coverage Period'!K7</f>
        <v>06/01/2025 - 05/31/2026</v>
      </c>
      <c r="F15" s="5" t="s">
        <v>30</v>
      </c>
      <c r="G15" s="5" t="s">
        <v>57</v>
      </c>
      <c r="H15" s="6" t="s">
        <v>51</v>
      </c>
      <c r="I15" s="8"/>
      <c r="J15" s="9"/>
      <c r="K15" s="10"/>
    </row>
    <row r="16" customFormat="false" ht="46.25" hidden="false" customHeight="false" outlineLevel="0" collapsed="false">
      <c r="A16" s="4" t="s">
        <v>46</v>
      </c>
      <c r="B16" s="5" t="s">
        <v>47</v>
      </c>
      <c r="C16" s="6" t="s">
        <v>58</v>
      </c>
      <c r="D16" s="5" t="s">
        <v>59</v>
      </c>
      <c r="E16" s="7" t="str">
        <f aca="false">'Coverage Period'!K7</f>
        <v>06/01/2025 - 05/31/2026</v>
      </c>
      <c r="F16" s="5" t="s">
        <v>30</v>
      </c>
      <c r="G16" s="5" t="s">
        <v>57</v>
      </c>
      <c r="H16" s="6" t="s">
        <v>51</v>
      </c>
      <c r="I16" s="8"/>
      <c r="J16" s="9"/>
      <c r="K16" s="10"/>
    </row>
    <row r="17" customFormat="false" ht="46.25" hidden="false" customHeight="false" outlineLevel="0" collapsed="false">
      <c r="A17" s="4" t="s">
        <v>46</v>
      </c>
      <c r="B17" s="5" t="s">
        <v>47</v>
      </c>
      <c r="C17" s="6" t="s">
        <v>60</v>
      </c>
      <c r="D17" s="5" t="s">
        <v>61</v>
      </c>
      <c r="E17" s="7" t="str">
        <f aca="false">'Coverage Period'!K7</f>
        <v>06/01/2025 - 05/31/2026</v>
      </c>
      <c r="F17" s="5" t="s">
        <v>22</v>
      </c>
      <c r="G17" s="5" t="s">
        <v>62</v>
      </c>
      <c r="H17" s="6" t="s">
        <v>51</v>
      </c>
      <c r="I17" s="8"/>
      <c r="J17" s="9"/>
      <c r="K17" s="10"/>
    </row>
    <row r="18" customFormat="false" ht="46.25" hidden="false" customHeight="false" outlineLevel="0" collapsed="false">
      <c r="A18" s="4" t="s">
        <v>46</v>
      </c>
      <c r="B18" s="5" t="s">
        <v>47</v>
      </c>
      <c r="C18" s="6" t="s">
        <v>63</v>
      </c>
      <c r="D18" s="5" t="s">
        <v>64</v>
      </c>
      <c r="E18" s="7" t="str">
        <f aca="false">'Coverage Period'!K7</f>
        <v>06/01/2025 - 05/31/2026</v>
      </c>
      <c r="F18" s="5" t="s">
        <v>65</v>
      </c>
      <c r="G18" s="5" t="s">
        <v>66</v>
      </c>
      <c r="H18" s="6" t="s">
        <v>51</v>
      </c>
      <c r="I18" s="8"/>
      <c r="J18" s="9"/>
      <c r="K18" s="10"/>
    </row>
    <row r="19" customFormat="false" ht="46.25" hidden="false" customHeight="false" outlineLevel="0" collapsed="false">
      <c r="A19" s="4" t="s">
        <v>46</v>
      </c>
      <c r="B19" s="5" t="s">
        <v>47</v>
      </c>
      <c r="C19" s="6" t="s">
        <v>67</v>
      </c>
      <c r="D19" s="5" t="s">
        <v>68</v>
      </c>
      <c r="E19" s="7" t="str">
        <f aca="false">'Coverage Period'!K7</f>
        <v>06/01/2025 - 05/31/2026</v>
      </c>
      <c r="F19" s="5" t="s">
        <v>65</v>
      </c>
      <c r="G19" s="5" t="s">
        <v>69</v>
      </c>
      <c r="H19" s="6" t="s">
        <v>51</v>
      </c>
      <c r="I19" s="8"/>
      <c r="J19" s="9"/>
      <c r="K19" s="10"/>
    </row>
    <row r="20" customFormat="false" ht="46.25" hidden="false" customHeight="false" outlineLevel="0" collapsed="false">
      <c r="A20" s="4" t="s">
        <v>46</v>
      </c>
      <c r="B20" s="5" t="s">
        <v>47</v>
      </c>
      <c r="C20" s="6" t="s">
        <v>70</v>
      </c>
      <c r="D20" s="5" t="s">
        <v>71</v>
      </c>
      <c r="E20" s="7" t="str">
        <f aca="false">'Coverage Period'!K7</f>
        <v>06/01/2025 - 05/31/2026</v>
      </c>
      <c r="F20" s="5" t="s">
        <v>26</v>
      </c>
      <c r="G20" s="5" t="s">
        <v>45</v>
      </c>
      <c r="H20" s="6" t="s">
        <v>51</v>
      </c>
      <c r="I20" s="8"/>
      <c r="J20" s="9"/>
      <c r="K20" s="10"/>
    </row>
    <row r="21" customFormat="false" ht="46.25" hidden="false" customHeight="false" outlineLevel="0" collapsed="false">
      <c r="A21" s="4" t="s">
        <v>46</v>
      </c>
      <c r="B21" s="5" t="s">
        <v>47</v>
      </c>
      <c r="C21" s="6" t="s">
        <v>72</v>
      </c>
      <c r="D21" s="5" t="s">
        <v>73</v>
      </c>
      <c r="E21" s="7" t="str">
        <f aca="false">'Coverage Period'!K7</f>
        <v>06/01/2025 - 05/31/2026</v>
      </c>
      <c r="F21" s="5" t="s">
        <v>40</v>
      </c>
      <c r="G21" s="5" t="s">
        <v>41</v>
      </c>
      <c r="H21" s="6" t="s">
        <v>51</v>
      </c>
      <c r="I21" s="8"/>
      <c r="J21" s="9"/>
      <c r="K21" s="10"/>
    </row>
    <row r="22" customFormat="false" ht="79.85" hidden="false" customHeight="false" outlineLevel="0" collapsed="false">
      <c r="A22" s="4" t="s">
        <v>74</v>
      </c>
      <c r="B22" s="5" t="s">
        <v>75</v>
      </c>
      <c r="C22" s="6" t="s">
        <v>76</v>
      </c>
      <c r="D22" s="5" t="s">
        <v>77</v>
      </c>
      <c r="E22" s="7" t="str">
        <f aca="false">'Coverage Period'!K8</f>
        <v>07/05/2025 - 01/04/2026</v>
      </c>
      <c r="F22" s="5" t="s">
        <v>17</v>
      </c>
      <c r="G22" s="5" t="s">
        <v>78</v>
      </c>
      <c r="H22" s="6" t="s">
        <v>19</v>
      </c>
      <c r="I22" s="8"/>
      <c r="J22" s="9"/>
      <c r="K22" s="10"/>
    </row>
    <row r="23" customFormat="false" ht="79.85" hidden="false" customHeight="false" outlineLevel="0" collapsed="false">
      <c r="A23" s="4" t="s">
        <v>74</v>
      </c>
      <c r="B23" s="5" t="s">
        <v>75</v>
      </c>
      <c r="C23" s="6" t="s">
        <v>79</v>
      </c>
      <c r="D23" s="5" t="s">
        <v>80</v>
      </c>
      <c r="E23" s="7" t="str">
        <f aca="false">'Coverage Period'!K8</f>
        <v>07/05/2025 - 01/04/2026</v>
      </c>
      <c r="F23" s="5" t="s">
        <v>22</v>
      </c>
      <c r="G23" s="5" t="s">
        <v>81</v>
      </c>
      <c r="H23" s="6" t="s">
        <v>19</v>
      </c>
      <c r="I23" s="8"/>
      <c r="J23" s="9"/>
      <c r="K23" s="10"/>
    </row>
    <row r="24" customFormat="false" ht="79.85" hidden="false" customHeight="false" outlineLevel="0" collapsed="false">
      <c r="A24" s="4" t="s">
        <v>74</v>
      </c>
      <c r="B24" s="5" t="s">
        <v>75</v>
      </c>
      <c r="C24" s="6" t="s">
        <v>82</v>
      </c>
      <c r="D24" s="5" t="s">
        <v>83</v>
      </c>
      <c r="E24" s="7" t="str">
        <f aca="false">'Coverage Period'!K8</f>
        <v>07/05/2025 - 01/04/2026</v>
      </c>
      <c r="F24" s="5" t="s">
        <v>26</v>
      </c>
      <c r="G24" s="5" t="s">
        <v>84</v>
      </c>
      <c r="H24" s="6" t="s">
        <v>19</v>
      </c>
      <c r="I24" s="8"/>
      <c r="J24" s="9"/>
      <c r="K24" s="10"/>
    </row>
    <row r="25" customFormat="false" ht="79.85" hidden="false" customHeight="false" outlineLevel="0" collapsed="false">
      <c r="A25" s="4" t="s">
        <v>74</v>
      </c>
      <c r="B25" s="5" t="s">
        <v>75</v>
      </c>
      <c r="C25" s="6" t="s">
        <v>85</v>
      </c>
      <c r="D25" s="5" t="s">
        <v>86</v>
      </c>
      <c r="E25" s="7" t="str">
        <f aca="false">'Coverage Period'!K8</f>
        <v>07/05/2025 - 01/04/2026</v>
      </c>
      <c r="F25" s="5" t="s">
        <v>30</v>
      </c>
      <c r="G25" s="5" t="s">
        <v>87</v>
      </c>
      <c r="H25" s="6" t="s">
        <v>19</v>
      </c>
      <c r="I25" s="8"/>
      <c r="J25" s="9"/>
      <c r="K25" s="10"/>
    </row>
    <row r="26" customFormat="false" ht="79.85" hidden="false" customHeight="false" outlineLevel="0" collapsed="false">
      <c r="A26" s="4" t="s">
        <v>74</v>
      </c>
      <c r="B26" s="5" t="s">
        <v>75</v>
      </c>
      <c r="C26" s="6" t="s">
        <v>88</v>
      </c>
      <c r="D26" s="5" t="s">
        <v>89</v>
      </c>
      <c r="E26" s="7" t="str">
        <f aca="false">'Coverage Period'!K8</f>
        <v>07/05/2025 - 01/04/2026</v>
      </c>
      <c r="F26" s="5" t="s">
        <v>30</v>
      </c>
      <c r="G26" s="5" t="s">
        <v>90</v>
      </c>
      <c r="H26" s="6" t="s">
        <v>19</v>
      </c>
      <c r="I26" s="8"/>
      <c r="J26" s="9"/>
      <c r="K26" s="10"/>
    </row>
    <row r="27" customFormat="false" ht="79.85" hidden="false" customHeight="false" outlineLevel="0" collapsed="false">
      <c r="A27" s="4" t="s">
        <v>74</v>
      </c>
      <c r="B27" s="5" t="s">
        <v>75</v>
      </c>
      <c r="C27" s="6" t="s">
        <v>91</v>
      </c>
      <c r="D27" s="5" t="s">
        <v>92</v>
      </c>
      <c r="E27" s="7" t="str">
        <f aca="false">'Coverage Period'!K8</f>
        <v>07/05/2025 - 01/04/2026</v>
      </c>
      <c r="F27" s="5" t="s">
        <v>40</v>
      </c>
      <c r="G27" s="5" t="s">
        <v>93</v>
      </c>
      <c r="H27" s="6" t="s">
        <v>19</v>
      </c>
      <c r="I27" s="8"/>
      <c r="J27" s="9"/>
      <c r="K27" s="10"/>
    </row>
    <row r="28" customFormat="false" ht="79.85" hidden="false" customHeight="false" outlineLevel="0" collapsed="false">
      <c r="A28" s="4" t="s">
        <v>74</v>
      </c>
      <c r="B28" s="5" t="s">
        <v>75</v>
      </c>
      <c r="C28" s="6" t="s">
        <v>94</v>
      </c>
      <c r="D28" s="5" t="s">
        <v>95</v>
      </c>
      <c r="E28" s="7" t="str">
        <f aca="false">'Coverage Period'!K8</f>
        <v>07/05/2025 - 01/04/2026</v>
      </c>
      <c r="F28" s="5" t="s">
        <v>44</v>
      </c>
      <c r="G28" s="5" t="s">
        <v>96</v>
      </c>
      <c r="H28" s="6" t="s">
        <v>19</v>
      </c>
      <c r="I28" s="8"/>
      <c r="J28" s="9"/>
      <c r="K28" s="10"/>
    </row>
    <row r="29" customFormat="false" ht="68.65" hidden="false" customHeight="false" outlineLevel="0" collapsed="false">
      <c r="A29" s="4" t="s">
        <v>97</v>
      </c>
      <c r="B29" s="5" t="s">
        <v>98</v>
      </c>
      <c r="C29" s="6" t="s">
        <v>99</v>
      </c>
      <c r="D29" s="5" t="s">
        <v>100</v>
      </c>
      <c r="E29" s="7" t="str">
        <f aca="false">'Coverage Period'!K9</f>
        <v>07/05/2025 - 07/04/2026</v>
      </c>
      <c r="F29" s="5" t="s">
        <v>17</v>
      </c>
      <c r="G29" s="5" t="s">
        <v>54</v>
      </c>
      <c r="H29" s="6" t="s">
        <v>51</v>
      </c>
      <c r="I29" s="8"/>
      <c r="J29" s="9"/>
      <c r="K29" s="10"/>
    </row>
    <row r="30" customFormat="false" ht="68.65" hidden="false" customHeight="false" outlineLevel="0" collapsed="false">
      <c r="A30" s="4" t="s">
        <v>97</v>
      </c>
      <c r="B30" s="5" t="s">
        <v>98</v>
      </c>
      <c r="C30" s="6" t="s">
        <v>101</v>
      </c>
      <c r="D30" s="5" t="s">
        <v>102</v>
      </c>
      <c r="E30" s="7" t="str">
        <f aca="false">'Coverage Period'!K9</f>
        <v>07/05/2025 - 07/04/2026</v>
      </c>
      <c r="F30" s="5" t="s">
        <v>30</v>
      </c>
      <c r="G30" s="5" t="s">
        <v>103</v>
      </c>
      <c r="H30" s="6" t="s">
        <v>51</v>
      </c>
      <c r="I30" s="8"/>
      <c r="J30" s="9"/>
      <c r="K30" s="10"/>
    </row>
    <row r="31" customFormat="false" ht="68.65" hidden="false" customHeight="false" outlineLevel="0" collapsed="false">
      <c r="A31" s="4" t="s">
        <v>97</v>
      </c>
      <c r="B31" s="5" t="s">
        <v>98</v>
      </c>
      <c r="C31" s="6" t="s">
        <v>104</v>
      </c>
      <c r="D31" s="5" t="s">
        <v>105</v>
      </c>
      <c r="E31" s="7" t="str">
        <f aca="false">'Coverage Period'!K9</f>
        <v>07/05/2025 - 07/04/2026</v>
      </c>
      <c r="F31" s="5" t="s">
        <v>30</v>
      </c>
      <c r="G31" s="5" t="s">
        <v>106</v>
      </c>
      <c r="H31" s="6" t="s">
        <v>51</v>
      </c>
      <c r="I31" s="8"/>
      <c r="J31" s="9"/>
      <c r="K31" s="10"/>
    </row>
    <row r="32" customFormat="false" ht="68.65" hidden="false" customHeight="false" outlineLevel="0" collapsed="false">
      <c r="A32" s="4" t="s">
        <v>97</v>
      </c>
      <c r="B32" s="5" t="s">
        <v>98</v>
      </c>
      <c r="C32" s="6" t="s">
        <v>107</v>
      </c>
      <c r="D32" s="5" t="s">
        <v>108</v>
      </c>
      <c r="E32" s="7" t="str">
        <f aca="false">'Coverage Period'!K9</f>
        <v>07/05/2025 - 07/04/2026</v>
      </c>
      <c r="F32" s="5" t="s">
        <v>65</v>
      </c>
      <c r="G32" s="5" t="s">
        <v>109</v>
      </c>
      <c r="H32" s="6" t="s">
        <v>51</v>
      </c>
      <c r="I32" s="8"/>
      <c r="J32" s="9"/>
      <c r="K32" s="10"/>
    </row>
    <row r="33" customFormat="false" ht="68.65" hidden="false" customHeight="false" outlineLevel="0" collapsed="false">
      <c r="A33" s="4" t="s">
        <v>97</v>
      </c>
      <c r="B33" s="5" t="s">
        <v>98</v>
      </c>
      <c r="C33" s="6" t="s">
        <v>110</v>
      </c>
      <c r="D33" s="5" t="s">
        <v>111</v>
      </c>
      <c r="E33" s="7" t="str">
        <f aca="false">'Coverage Period'!K9</f>
        <v>07/05/2025 - 07/04/2026</v>
      </c>
      <c r="F33" s="5" t="s">
        <v>22</v>
      </c>
      <c r="G33" s="5" t="s">
        <v>45</v>
      </c>
      <c r="H33" s="6" t="s">
        <v>51</v>
      </c>
      <c r="I33" s="8"/>
      <c r="J33" s="9"/>
      <c r="K33" s="10"/>
    </row>
    <row r="34" customFormat="false" ht="68.65" hidden="false" customHeight="false" outlineLevel="0" collapsed="false">
      <c r="A34" s="4" t="s">
        <v>97</v>
      </c>
      <c r="B34" s="5" t="s">
        <v>98</v>
      </c>
      <c r="C34" s="6" t="s">
        <v>112</v>
      </c>
      <c r="D34" s="5" t="s">
        <v>113</v>
      </c>
      <c r="E34" s="7" t="str">
        <f aca="false">'Coverage Period'!K9</f>
        <v>07/05/2025 - 07/04/2026</v>
      </c>
      <c r="F34" s="5" t="s">
        <v>26</v>
      </c>
      <c r="G34" s="5" t="s">
        <v>114</v>
      </c>
      <c r="H34" s="6" t="s">
        <v>51</v>
      </c>
      <c r="I34" s="8"/>
      <c r="J34" s="9"/>
      <c r="K34" s="10"/>
    </row>
    <row r="35" customFormat="false" ht="68.65" hidden="false" customHeight="false" outlineLevel="0" collapsed="false">
      <c r="A35" s="4" t="s">
        <v>97</v>
      </c>
      <c r="B35" s="5" t="s">
        <v>98</v>
      </c>
      <c r="C35" s="6" t="s">
        <v>115</v>
      </c>
      <c r="D35" s="5" t="s">
        <v>116</v>
      </c>
      <c r="E35" s="7" t="str">
        <f aca="false">'Coverage Period'!K9</f>
        <v>07/05/2025 - 07/04/2026</v>
      </c>
      <c r="F35" s="5" t="s">
        <v>65</v>
      </c>
      <c r="G35" s="5" t="s">
        <v>45</v>
      </c>
      <c r="H35" s="6" t="s">
        <v>51</v>
      </c>
      <c r="I35" s="8"/>
      <c r="J35" s="9"/>
      <c r="K35" s="10"/>
    </row>
    <row r="36" customFormat="false" ht="68.65" hidden="false" customHeight="false" outlineLevel="0" collapsed="false">
      <c r="A36" s="4" t="s">
        <v>97</v>
      </c>
      <c r="B36" s="5" t="s">
        <v>98</v>
      </c>
      <c r="C36" s="6" t="s">
        <v>117</v>
      </c>
      <c r="D36" s="5" t="s">
        <v>118</v>
      </c>
      <c r="E36" s="7" t="str">
        <f aca="false">'Coverage Period'!K9</f>
        <v>07/05/2025 - 07/04/2026</v>
      </c>
      <c r="F36" s="5" t="s">
        <v>40</v>
      </c>
      <c r="G36" s="5" t="s">
        <v>41</v>
      </c>
      <c r="H36" s="6" t="s">
        <v>51</v>
      </c>
      <c r="I36" s="8"/>
      <c r="J36" s="9"/>
      <c r="K36" s="10"/>
    </row>
    <row r="37" customFormat="false" ht="68.65" hidden="false" customHeight="false" outlineLevel="0" collapsed="false">
      <c r="A37" s="4" t="s">
        <v>97</v>
      </c>
      <c r="B37" s="5" t="s">
        <v>98</v>
      </c>
      <c r="C37" s="6" t="s">
        <v>119</v>
      </c>
      <c r="D37" s="5" t="s">
        <v>120</v>
      </c>
      <c r="E37" s="7" t="str">
        <f aca="false">'Coverage Period'!K9</f>
        <v>07/05/2025 - 07/04/2026</v>
      </c>
      <c r="F37" s="5" t="s">
        <v>44</v>
      </c>
      <c r="G37" s="5" t="s">
        <v>45</v>
      </c>
      <c r="H37" s="6" t="s">
        <v>51</v>
      </c>
      <c r="I37" s="8"/>
      <c r="J37" s="9"/>
      <c r="K37" s="10"/>
    </row>
    <row r="38" customFormat="false" ht="68.65" hidden="false" customHeight="false" outlineLevel="0" collapsed="false">
      <c r="A38" s="4" t="s">
        <v>121</v>
      </c>
      <c r="B38" s="5" t="s">
        <v>122</v>
      </c>
      <c r="C38" s="6" t="s">
        <v>123</v>
      </c>
      <c r="D38" s="5" t="s">
        <v>124</v>
      </c>
      <c r="E38" s="7" t="str">
        <f aca="false">'Coverage Period'!K10</f>
        <v>07/05/2025 - 07/04/2026</v>
      </c>
      <c r="F38" s="5" t="s">
        <v>17</v>
      </c>
      <c r="G38" s="5" t="s">
        <v>125</v>
      </c>
      <c r="H38" s="6" t="s">
        <v>19</v>
      </c>
      <c r="I38" s="8"/>
      <c r="J38" s="9"/>
      <c r="K38" s="10"/>
    </row>
    <row r="39" customFormat="false" ht="68.65" hidden="false" customHeight="false" outlineLevel="0" collapsed="false">
      <c r="A39" s="4" t="s">
        <v>121</v>
      </c>
      <c r="B39" s="5" t="s">
        <v>122</v>
      </c>
      <c r="C39" s="6" t="s">
        <v>126</v>
      </c>
      <c r="D39" s="5" t="s">
        <v>127</v>
      </c>
      <c r="E39" s="7" t="str">
        <f aca="false">'Coverage Period'!K10</f>
        <v>07/05/2025 - 07/04/2026</v>
      </c>
      <c r="F39" s="5" t="s">
        <v>22</v>
      </c>
      <c r="G39" s="5" t="s">
        <v>128</v>
      </c>
      <c r="H39" s="6" t="s">
        <v>19</v>
      </c>
      <c r="I39" s="8"/>
      <c r="J39" s="9"/>
      <c r="K39" s="10"/>
    </row>
    <row r="40" customFormat="false" ht="68.65" hidden="false" customHeight="false" outlineLevel="0" collapsed="false">
      <c r="A40" s="4" t="s">
        <v>121</v>
      </c>
      <c r="B40" s="5" t="s">
        <v>122</v>
      </c>
      <c r="C40" s="6" t="s">
        <v>129</v>
      </c>
      <c r="D40" s="5" t="s">
        <v>130</v>
      </c>
      <c r="E40" s="7" t="str">
        <f aca="false">'Coverage Period'!K10</f>
        <v>07/05/2025 - 07/04/2026</v>
      </c>
      <c r="F40" s="5" t="s">
        <v>26</v>
      </c>
      <c r="G40" s="5" t="s">
        <v>131</v>
      </c>
      <c r="H40" s="6" t="s">
        <v>19</v>
      </c>
      <c r="I40" s="8"/>
      <c r="J40" s="9"/>
      <c r="K40" s="10"/>
    </row>
    <row r="41" customFormat="false" ht="68.65" hidden="false" customHeight="false" outlineLevel="0" collapsed="false">
      <c r="A41" s="4" t="s">
        <v>121</v>
      </c>
      <c r="B41" s="5" t="s">
        <v>122</v>
      </c>
      <c r="C41" s="6" t="s">
        <v>132</v>
      </c>
      <c r="D41" s="5" t="s">
        <v>133</v>
      </c>
      <c r="E41" s="7" t="str">
        <f aca="false">'Coverage Period'!K10</f>
        <v>07/05/2025 - 07/04/2026</v>
      </c>
      <c r="F41" s="5" t="s">
        <v>30</v>
      </c>
      <c r="G41" s="5" t="s">
        <v>134</v>
      </c>
      <c r="H41" s="6" t="s">
        <v>19</v>
      </c>
      <c r="I41" s="8"/>
      <c r="J41" s="9"/>
      <c r="K41" s="10"/>
    </row>
    <row r="42" customFormat="false" ht="68.65" hidden="false" customHeight="false" outlineLevel="0" collapsed="false">
      <c r="A42" s="4" t="s">
        <v>121</v>
      </c>
      <c r="B42" s="5" t="s">
        <v>122</v>
      </c>
      <c r="C42" s="6" t="s">
        <v>135</v>
      </c>
      <c r="D42" s="5" t="s">
        <v>136</v>
      </c>
      <c r="E42" s="7" t="str">
        <f aca="false">'Coverage Period'!K10</f>
        <v>07/05/2025 - 07/04/2026</v>
      </c>
      <c r="F42" s="5" t="s">
        <v>65</v>
      </c>
      <c r="G42" s="5" t="s">
        <v>128</v>
      </c>
      <c r="H42" s="6" t="s">
        <v>19</v>
      </c>
      <c r="I42" s="8"/>
      <c r="J42" s="9"/>
      <c r="K42" s="10"/>
    </row>
    <row r="43" customFormat="false" ht="68.65" hidden="false" customHeight="false" outlineLevel="0" collapsed="false">
      <c r="A43" s="4" t="s">
        <v>121</v>
      </c>
      <c r="B43" s="5" t="s">
        <v>122</v>
      </c>
      <c r="C43" s="6" t="s">
        <v>137</v>
      </c>
      <c r="D43" s="5" t="s">
        <v>138</v>
      </c>
      <c r="E43" s="7" t="str">
        <f aca="false">'Coverage Period'!K10</f>
        <v>07/05/2025 - 07/04/2026</v>
      </c>
      <c r="F43" s="5" t="s">
        <v>65</v>
      </c>
      <c r="G43" s="5" t="s">
        <v>45</v>
      </c>
      <c r="H43" s="6" t="s">
        <v>19</v>
      </c>
      <c r="I43" s="8"/>
      <c r="J43" s="9"/>
      <c r="K43" s="10"/>
    </row>
    <row r="44" customFormat="false" ht="68.65" hidden="false" customHeight="false" outlineLevel="0" collapsed="false">
      <c r="A44" s="4" t="s">
        <v>121</v>
      </c>
      <c r="B44" s="5" t="s">
        <v>122</v>
      </c>
      <c r="C44" s="6" t="s">
        <v>139</v>
      </c>
      <c r="D44" s="5" t="s">
        <v>140</v>
      </c>
      <c r="E44" s="7" t="str">
        <f aca="false">'Coverage Period'!K10</f>
        <v>07/05/2025 - 07/04/2026</v>
      </c>
      <c r="F44" s="5" t="s">
        <v>40</v>
      </c>
      <c r="G44" s="5" t="s">
        <v>41</v>
      </c>
      <c r="H44" s="6" t="s">
        <v>19</v>
      </c>
      <c r="I44" s="8"/>
      <c r="J44" s="9"/>
      <c r="K44" s="10"/>
    </row>
    <row r="45" customFormat="false" ht="68.65" hidden="false" customHeight="false" outlineLevel="0" collapsed="false">
      <c r="A45" s="4" t="s">
        <v>121</v>
      </c>
      <c r="B45" s="5" t="s">
        <v>122</v>
      </c>
      <c r="C45" s="6" t="s">
        <v>141</v>
      </c>
      <c r="D45" s="5" t="s">
        <v>142</v>
      </c>
      <c r="E45" s="7" t="str">
        <f aca="false">'Coverage Period'!K10</f>
        <v>07/05/2025 - 07/04/2026</v>
      </c>
      <c r="F45" s="5" t="s">
        <v>44</v>
      </c>
      <c r="G45" s="5" t="s">
        <v>143</v>
      </c>
      <c r="H45" s="6" t="s">
        <v>19</v>
      </c>
      <c r="I45" s="8"/>
      <c r="J45" s="9"/>
      <c r="K45" s="10"/>
    </row>
    <row r="46" customFormat="false" ht="79.85" hidden="false" customHeight="false" outlineLevel="0" collapsed="false">
      <c r="A46" s="4" t="s">
        <v>144</v>
      </c>
      <c r="B46" s="5" t="s">
        <v>145</v>
      </c>
      <c r="C46" s="6" t="s">
        <v>146</v>
      </c>
      <c r="D46" s="5" t="s">
        <v>147</v>
      </c>
      <c r="E46" s="7" t="str">
        <f aca="false">'Coverage Period'!K11</f>
        <v>06/01/2025 - 05/31/2026</v>
      </c>
      <c r="F46" s="5" t="s">
        <v>17</v>
      </c>
      <c r="G46" s="5" t="s">
        <v>125</v>
      </c>
      <c r="H46" s="6" t="s">
        <v>148</v>
      </c>
      <c r="I46" s="8"/>
      <c r="J46" s="9"/>
      <c r="K46" s="10"/>
    </row>
    <row r="47" customFormat="false" ht="91" hidden="false" customHeight="false" outlineLevel="0" collapsed="false">
      <c r="A47" s="4" t="s">
        <v>144</v>
      </c>
      <c r="B47" s="5" t="s">
        <v>145</v>
      </c>
      <c r="C47" s="6" t="s">
        <v>149</v>
      </c>
      <c r="D47" s="5" t="s">
        <v>150</v>
      </c>
      <c r="E47" s="7" t="str">
        <f aca="false">'Coverage Period'!K11</f>
        <v>06/01/2025 - 05/31/2026</v>
      </c>
      <c r="F47" s="5" t="s">
        <v>30</v>
      </c>
      <c r="G47" s="5" t="s">
        <v>151</v>
      </c>
      <c r="H47" s="6" t="s">
        <v>148</v>
      </c>
      <c r="I47" s="8"/>
      <c r="J47" s="9"/>
      <c r="K47" s="10"/>
    </row>
    <row r="48" customFormat="false" ht="79.85" hidden="false" customHeight="false" outlineLevel="0" collapsed="false">
      <c r="A48" s="4" t="s">
        <v>144</v>
      </c>
      <c r="B48" s="5" t="s">
        <v>145</v>
      </c>
      <c r="C48" s="6" t="s">
        <v>152</v>
      </c>
      <c r="D48" s="5" t="s">
        <v>153</v>
      </c>
      <c r="E48" s="7" t="str">
        <f aca="false">'Coverage Period'!K11</f>
        <v>06/01/2025 - 05/31/2026</v>
      </c>
      <c r="F48" s="5" t="s">
        <v>30</v>
      </c>
      <c r="G48" s="5" t="s">
        <v>154</v>
      </c>
      <c r="H48" s="6" t="s">
        <v>148</v>
      </c>
      <c r="I48" s="8"/>
      <c r="J48" s="9"/>
      <c r="K48" s="10"/>
    </row>
    <row r="49" customFormat="false" ht="79.85" hidden="false" customHeight="false" outlineLevel="0" collapsed="false">
      <c r="A49" s="4" t="s">
        <v>144</v>
      </c>
      <c r="B49" s="5" t="s">
        <v>145</v>
      </c>
      <c r="C49" s="6" t="s">
        <v>155</v>
      </c>
      <c r="D49" s="5" t="s">
        <v>156</v>
      </c>
      <c r="E49" s="7" t="str">
        <f aca="false">'Coverage Period'!K11</f>
        <v>06/01/2025 - 05/31/2026</v>
      </c>
      <c r="F49" s="5" t="s">
        <v>30</v>
      </c>
      <c r="G49" s="5" t="s">
        <v>157</v>
      </c>
      <c r="H49" s="6" t="s">
        <v>148</v>
      </c>
      <c r="I49" s="8"/>
      <c r="J49" s="9"/>
      <c r="K49" s="10"/>
    </row>
    <row r="50" customFormat="false" ht="79.85" hidden="false" customHeight="false" outlineLevel="0" collapsed="false">
      <c r="A50" s="4" t="s">
        <v>144</v>
      </c>
      <c r="B50" s="5" t="s">
        <v>145</v>
      </c>
      <c r="C50" s="6" t="s">
        <v>158</v>
      </c>
      <c r="D50" s="5" t="s">
        <v>159</v>
      </c>
      <c r="E50" s="7" t="str">
        <f aca="false">'Coverage Period'!K11</f>
        <v>06/01/2025 - 05/31/2026</v>
      </c>
      <c r="F50" s="5" t="s">
        <v>65</v>
      </c>
      <c r="G50" s="5" t="s">
        <v>160</v>
      </c>
      <c r="H50" s="6" t="s">
        <v>148</v>
      </c>
      <c r="I50" s="8"/>
      <c r="J50" s="9"/>
      <c r="K50" s="10"/>
    </row>
    <row r="51" customFormat="false" ht="79.85" hidden="false" customHeight="false" outlineLevel="0" collapsed="false">
      <c r="A51" s="4" t="s">
        <v>144</v>
      </c>
      <c r="B51" s="5" t="s">
        <v>145</v>
      </c>
      <c r="C51" s="6" t="s">
        <v>161</v>
      </c>
      <c r="D51" s="5" t="s">
        <v>162</v>
      </c>
      <c r="E51" s="7" t="str">
        <f aca="false">'Coverage Period'!K11</f>
        <v>06/01/2025 - 05/31/2026</v>
      </c>
      <c r="F51" s="5" t="s">
        <v>22</v>
      </c>
      <c r="G51" s="5" t="s">
        <v>163</v>
      </c>
      <c r="H51" s="6" t="s">
        <v>148</v>
      </c>
      <c r="I51" s="8"/>
      <c r="J51" s="9"/>
      <c r="K51" s="10"/>
    </row>
    <row r="52" customFormat="false" ht="79.85" hidden="false" customHeight="false" outlineLevel="0" collapsed="false">
      <c r="A52" s="4" t="s">
        <v>144</v>
      </c>
      <c r="B52" s="5" t="s">
        <v>145</v>
      </c>
      <c r="C52" s="6" t="s">
        <v>164</v>
      </c>
      <c r="D52" s="5" t="s">
        <v>165</v>
      </c>
      <c r="E52" s="7" t="str">
        <f aca="false">'Coverage Period'!K11</f>
        <v>06/01/2025 - 05/31/2026</v>
      </c>
      <c r="F52" s="5" t="s">
        <v>40</v>
      </c>
      <c r="G52" s="5" t="s">
        <v>166</v>
      </c>
      <c r="H52" s="6" t="s">
        <v>148</v>
      </c>
      <c r="I52" s="8"/>
      <c r="J52" s="9"/>
      <c r="K52" s="10"/>
    </row>
    <row r="53" customFormat="false" ht="79.85" hidden="false" customHeight="false" outlineLevel="0" collapsed="false">
      <c r="A53" s="4" t="s">
        <v>144</v>
      </c>
      <c r="B53" s="5" t="s">
        <v>145</v>
      </c>
      <c r="C53" s="6" t="s">
        <v>167</v>
      </c>
      <c r="D53" s="5" t="s">
        <v>168</v>
      </c>
      <c r="E53" s="7" t="str">
        <f aca="false">'Coverage Period'!K11</f>
        <v>06/01/2025 - 05/31/2026</v>
      </c>
      <c r="F53" s="5" t="s">
        <v>44</v>
      </c>
      <c r="G53" s="5" t="s">
        <v>45</v>
      </c>
      <c r="H53" s="6" t="s">
        <v>148</v>
      </c>
      <c r="I53" s="8"/>
      <c r="J53" s="9"/>
      <c r="K53" s="10"/>
    </row>
  </sheetData>
  <autoFilter ref="A4:K53"/>
  <mergeCells count="1">
    <mergeCell ref="A2:K2"/>
  </mergeCells>
  <dataValidations count="1">
    <dataValidation allowBlank="true" errorStyle="stop" operator="between" showDropDown="false" showErrorMessage="false" showInputMessage="false" sqref="J5:J53" type="list">
      <formula1>"Open,Provided,Partially Provided,Not Applicable,Closed"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24"/>
    <col collapsed="false" customWidth="true" hidden="false" outlineLevel="0" max="3" min="3" style="0" width="18"/>
    <col collapsed="false" customWidth="true" hidden="false" outlineLevel="0" max="4" min="4" style="0" width="12"/>
    <col collapsed="false" customWidth="true" hidden="false" outlineLevel="0" max="5" min="5" style="0" width="22"/>
    <col collapsed="false" customWidth="true" hidden="false" outlineLevel="0" max="6" min="6" style="0" width="12"/>
    <col collapsed="false" customWidth="true" hidden="false" outlineLevel="0" max="7" min="7" style="0" width="25"/>
    <col collapsed="false" customWidth="true" hidden="false" outlineLevel="0" max="8" min="8" style="0" width="11"/>
    <col collapsed="false" customWidth="true" hidden="false" outlineLevel="0" max="9" min="9" style="0" width="12"/>
    <col collapsed="false" customWidth="true" hidden="false" outlineLevel="0" max="10" min="10" style="0" width="9"/>
  </cols>
  <sheetData>
    <row r="1" customFormat="false" ht="16.15" hidden="false" customHeight="false" outlineLevel="0" collapsed="false">
      <c r="A1" s="1" t="s">
        <v>169</v>
      </c>
    </row>
    <row r="3" customFormat="false" ht="23.85" hidden="false" customHeight="false" outlineLevel="0" collapsed="false">
      <c r="A3" s="3" t="s">
        <v>2</v>
      </c>
      <c r="B3" s="3" t="s">
        <v>170</v>
      </c>
      <c r="C3" s="3" t="s">
        <v>9</v>
      </c>
      <c r="D3" s="3" t="s">
        <v>171</v>
      </c>
      <c r="E3" s="3" t="s">
        <v>172</v>
      </c>
      <c r="F3" s="3" t="s">
        <v>173</v>
      </c>
      <c r="G3" s="3" t="s">
        <v>6</v>
      </c>
      <c r="H3" s="3" t="s">
        <v>174</v>
      </c>
      <c r="I3" s="3" t="s">
        <v>175</v>
      </c>
      <c r="J3" s="3" t="s">
        <v>176</v>
      </c>
    </row>
    <row r="4" customFormat="false" ht="15" hidden="false" customHeight="false" outlineLevel="0" collapsed="false">
      <c r="A4" s="6" t="s">
        <v>13</v>
      </c>
      <c r="B4" s="5" t="s">
        <v>177</v>
      </c>
      <c r="C4" s="6" t="s">
        <v>19</v>
      </c>
      <c r="D4" s="6" t="n">
        <v>50539549</v>
      </c>
      <c r="E4" s="6" t="s">
        <v>178</v>
      </c>
      <c r="F4" s="6" t="s">
        <v>179</v>
      </c>
      <c r="G4" s="7" t="str">
        <f aca="false">'Coverage Period'!K6</f>
        <v>07/01/2025 - 06/30/2026</v>
      </c>
      <c r="H4" s="6" t="n">
        <f aca="false">COUNTIF(DRL!$A$5:$A$53,A4)</f>
        <v>8</v>
      </c>
      <c r="I4" s="6" t="n">
        <f aca="false">COUNTIFS(DRL!$A$5:$A$53,A4,DRL!$J$5:$J$53,"Provided")+COUNTIFS(DRL!$A$5:$A$53,A4,DRL!$J$5:$J$53,"Closed")</f>
        <v>0</v>
      </c>
      <c r="J4" s="6" t="n">
        <f aca="false">H4-I4</f>
        <v>8</v>
      </c>
    </row>
    <row r="5" customFormat="false" ht="15" hidden="false" customHeight="false" outlineLevel="0" collapsed="false">
      <c r="A5" s="6" t="s">
        <v>46</v>
      </c>
      <c r="B5" s="5" t="s">
        <v>180</v>
      </c>
      <c r="C5" s="6" t="s">
        <v>51</v>
      </c>
      <c r="D5" s="6" t="n">
        <v>50539550</v>
      </c>
      <c r="E5" s="6" t="s">
        <v>181</v>
      </c>
      <c r="F5" s="6" t="s">
        <v>179</v>
      </c>
      <c r="G5" s="7" t="str">
        <f aca="false">'Coverage Period'!K7</f>
        <v>06/01/2025 - 05/31/2026</v>
      </c>
      <c r="H5" s="6" t="n">
        <f aca="false">COUNTIF(DRL!$A$5:$A$53,A5)</f>
        <v>9</v>
      </c>
      <c r="I5" s="6" t="n">
        <f aca="false">COUNTIFS(DRL!$A$5:$A$53,A5,DRL!$J$5:$J$53,"Provided")+COUNTIFS(DRL!$A$5:$A$53,A5,DRL!$J$5:$J$53,"Closed")</f>
        <v>0</v>
      </c>
      <c r="J5" s="6" t="n">
        <f aca="false">H5-I5</f>
        <v>9</v>
      </c>
    </row>
    <row r="6" customFormat="false" ht="15" hidden="false" customHeight="false" outlineLevel="0" collapsed="false">
      <c r="A6" s="6" t="s">
        <v>74</v>
      </c>
      <c r="B6" s="5" t="s">
        <v>182</v>
      </c>
      <c r="C6" s="6" t="s">
        <v>19</v>
      </c>
      <c r="D6" s="6" t="n">
        <v>50539552</v>
      </c>
      <c r="E6" s="6" t="s">
        <v>178</v>
      </c>
      <c r="F6" s="6" t="s">
        <v>179</v>
      </c>
      <c r="G6" s="7" t="str">
        <f aca="false">'Coverage Period'!K8</f>
        <v>07/05/2025 - 01/04/2026</v>
      </c>
      <c r="H6" s="6" t="n">
        <f aca="false">COUNTIF(DRL!$A$5:$A$53,A6)</f>
        <v>7</v>
      </c>
      <c r="I6" s="6" t="n">
        <f aca="false">COUNTIFS(DRL!$A$5:$A$53,A6,DRL!$J$5:$J$53,"Provided")+COUNTIFS(DRL!$A$5:$A$53,A6,DRL!$J$5:$J$53,"Closed")</f>
        <v>0</v>
      </c>
      <c r="J6" s="6" t="n">
        <f aca="false">H6-I6</f>
        <v>7</v>
      </c>
    </row>
    <row r="7" customFormat="false" ht="15" hidden="false" customHeight="false" outlineLevel="0" collapsed="false">
      <c r="A7" s="6" t="s">
        <v>97</v>
      </c>
      <c r="B7" s="5" t="s">
        <v>183</v>
      </c>
      <c r="C7" s="6" t="s">
        <v>51</v>
      </c>
      <c r="D7" s="6" t="n">
        <v>50539666</v>
      </c>
      <c r="E7" s="6" t="s">
        <v>181</v>
      </c>
      <c r="F7" s="6" t="s">
        <v>179</v>
      </c>
      <c r="G7" s="7" t="str">
        <f aca="false">'Coverage Period'!K9</f>
        <v>07/05/2025 - 07/04/2026</v>
      </c>
      <c r="H7" s="6" t="n">
        <f aca="false">COUNTIF(DRL!$A$5:$A$53,A7)</f>
        <v>9</v>
      </c>
      <c r="I7" s="6" t="n">
        <f aca="false">COUNTIFS(DRL!$A$5:$A$53,A7,DRL!$J$5:$J$53,"Provided")+COUNTIFS(DRL!$A$5:$A$53,A7,DRL!$J$5:$J$53,"Closed")</f>
        <v>0</v>
      </c>
      <c r="J7" s="6" t="n">
        <f aca="false">H7-I7</f>
        <v>9</v>
      </c>
    </row>
    <row r="8" customFormat="false" ht="15" hidden="false" customHeight="false" outlineLevel="0" collapsed="false">
      <c r="A8" s="6" t="s">
        <v>121</v>
      </c>
      <c r="B8" s="5" t="s">
        <v>184</v>
      </c>
      <c r="C8" s="6" t="s">
        <v>19</v>
      </c>
      <c r="D8" s="6" t="n">
        <v>50539667</v>
      </c>
      <c r="E8" s="6" t="s">
        <v>178</v>
      </c>
      <c r="F8" s="6" t="s">
        <v>179</v>
      </c>
      <c r="G8" s="7" t="str">
        <f aca="false">'Coverage Period'!K10</f>
        <v>07/05/2025 - 07/04/2026</v>
      </c>
      <c r="H8" s="6" t="n">
        <f aca="false">COUNTIF(DRL!$A$5:$A$53,A8)</f>
        <v>8</v>
      </c>
      <c r="I8" s="6" t="n">
        <f aca="false">COUNTIFS(DRL!$A$5:$A$53,A8,DRL!$J$5:$J$53,"Provided")+COUNTIFS(DRL!$A$5:$A$53,A8,DRL!$J$5:$J$53,"Closed")</f>
        <v>0</v>
      </c>
      <c r="J8" s="6" t="n">
        <f aca="false">H8-I8</f>
        <v>8</v>
      </c>
    </row>
    <row r="9" customFormat="false" ht="15" hidden="false" customHeight="false" outlineLevel="0" collapsed="false">
      <c r="A9" s="6" t="s">
        <v>144</v>
      </c>
      <c r="B9" s="5" t="s">
        <v>185</v>
      </c>
      <c r="C9" s="6" t="s">
        <v>148</v>
      </c>
      <c r="D9" s="6" t="n">
        <v>50418562</v>
      </c>
      <c r="E9" s="6" t="s">
        <v>181</v>
      </c>
      <c r="F9" s="6" t="s">
        <v>186</v>
      </c>
      <c r="G9" s="7" t="str">
        <f aca="false">'Coverage Period'!K11</f>
        <v>06/01/2025 - 05/31/2026</v>
      </c>
      <c r="H9" s="6" t="n">
        <f aca="false">COUNTIF(DRL!$A$5:$A$53,A9)</f>
        <v>8</v>
      </c>
      <c r="I9" s="6" t="n">
        <f aca="false">COUNTIFS(DRL!$A$5:$A$53,A9,DRL!$J$5:$J$53,"Provided")+COUNTIFS(DRL!$A$5:$A$53,A9,DRL!$J$5:$J$53,"Closed")</f>
        <v>0</v>
      </c>
      <c r="J9" s="6" t="n">
        <f aca="false">H9-I9</f>
        <v>8</v>
      </c>
    </row>
    <row r="10" customFormat="false" ht="15" hidden="false" customHeight="false" outlineLevel="0" collapsed="false">
      <c r="A10" s="11" t="s">
        <v>187</v>
      </c>
      <c r="B10" s="11"/>
      <c r="C10" s="11"/>
      <c r="D10" s="11"/>
      <c r="E10" s="11"/>
      <c r="F10" s="11"/>
      <c r="G10" s="11"/>
      <c r="H10" s="11" t="n">
        <f aca="false">SUM(H4:H9)</f>
        <v>49</v>
      </c>
      <c r="I10" s="11" t="n">
        <f aca="false">SUM(I4:I9)</f>
        <v>0</v>
      </c>
      <c r="J10" s="11" t="n">
        <f aca="false">SUM(J4:J9)</f>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22"/>
    <col collapsed="false" customWidth="true" hidden="false" outlineLevel="0" max="3" min="3" style="0" width="20"/>
    <col collapsed="false" customWidth="true" hidden="false" outlineLevel="0" max="4" min="4" style="0" width="12"/>
    <col collapsed="false" customWidth="true" hidden="false" outlineLevel="0" max="5" min="5" style="0" width="20"/>
    <col collapsed="false" customWidth="true" hidden="false" outlineLevel="0" max="6" min="6" style="0" width="13"/>
    <col collapsed="false" customWidth="true" hidden="false" outlineLevel="0" max="7" min="7" style="0" width="14"/>
    <col collapsed="false" customWidth="true" hidden="false" outlineLevel="0" max="8" min="8" style="0" width="10"/>
    <col collapsed="false" customWidth="true" hidden="false" outlineLevel="0" max="10" min="9" style="0" width="12"/>
    <col collapsed="false" customWidth="true" hidden="false" outlineLevel="0" max="11" min="11" style="0" width="25"/>
    <col collapsed="false" customWidth="true" hidden="false" outlineLevel="0" max="12" min="12" style="0" width="70"/>
  </cols>
  <sheetData>
    <row r="1" customFormat="false" ht="16.15" hidden="false" customHeight="false" outlineLevel="0" collapsed="false">
      <c r="A1" s="1" t="s">
        <v>188</v>
      </c>
    </row>
    <row r="2" customFormat="false" ht="42" hidden="false" customHeight="true" outlineLevel="0" collapsed="false">
      <c r="A2" s="2" t="s">
        <v>189</v>
      </c>
      <c r="B2" s="2"/>
      <c r="C2" s="2"/>
      <c r="D2" s="2"/>
      <c r="E2" s="2"/>
      <c r="F2" s="2"/>
      <c r="G2" s="2"/>
      <c r="H2" s="2"/>
      <c r="I2" s="2"/>
      <c r="J2" s="2"/>
      <c r="K2" s="2"/>
    </row>
    <row r="3" customFormat="false" ht="15" hidden="false" customHeight="false" outlineLevel="0" collapsed="false">
      <c r="A3" s="12" t="s">
        <v>190</v>
      </c>
      <c r="B3" s="12"/>
      <c r="C3" s="12"/>
      <c r="D3" s="12"/>
      <c r="E3" s="12"/>
      <c r="F3" s="12"/>
      <c r="G3" s="12"/>
      <c r="H3" s="12"/>
      <c r="I3" s="12"/>
      <c r="J3" s="12"/>
      <c r="K3" s="12"/>
    </row>
    <row r="5" customFormat="false" ht="46.25" hidden="false" customHeight="false" outlineLevel="0" collapsed="false">
      <c r="A5" s="3" t="s">
        <v>2</v>
      </c>
      <c r="B5" s="3" t="s">
        <v>170</v>
      </c>
      <c r="C5" s="3" t="s">
        <v>191</v>
      </c>
      <c r="D5" s="3" t="s">
        <v>192</v>
      </c>
      <c r="E5" s="3" t="s">
        <v>193</v>
      </c>
      <c r="F5" s="3" t="s">
        <v>194</v>
      </c>
      <c r="G5" s="3" t="s">
        <v>195</v>
      </c>
      <c r="H5" s="3" t="s">
        <v>196</v>
      </c>
      <c r="I5" s="3" t="s">
        <v>197</v>
      </c>
      <c r="J5" s="3" t="s">
        <v>198</v>
      </c>
      <c r="K5" s="3" t="s">
        <v>6</v>
      </c>
      <c r="L5" s="3" t="s">
        <v>199</v>
      </c>
    </row>
    <row r="6" customFormat="false" ht="57.45" hidden="false" customHeight="false" outlineLevel="0" collapsed="false">
      <c r="A6" s="13" t="s">
        <v>13</v>
      </c>
      <c r="B6" s="14" t="s">
        <v>177</v>
      </c>
      <c r="C6" s="14" t="s">
        <v>200</v>
      </c>
      <c r="D6" s="13" t="s">
        <v>201</v>
      </c>
      <c r="E6" s="14" t="s">
        <v>202</v>
      </c>
      <c r="F6" s="15" t="n">
        <v>45838</v>
      </c>
      <c r="G6" s="13" t="s">
        <v>203</v>
      </c>
      <c r="H6" s="16" t="n">
        <v>12</v>
      </c>
      <c r="I6" s="17" t="n">
        <f aca="false">F6+1</f>
        <v>45839</v>
      </c>
      <c r="J6" s="17" t="n">
        <f aca="false">EDATE(I6,H6)-1</f>
        <v>46203</v>
      </c>
      <c r="K6" s="18" t="str">
        <f aca="false">TEXT(I6,"mm/dd/yyyy")&amp;" - "&amp;TEXT(J6,"mm/dd/yyyy")</f>
        <v>07/01/2025 - 06/30/2026</v>
      </c>
      <c r="L6" s="14" t="s">
        <v>204</v>
      </c>
    </row>
    <row r="7" customFormat="false" ht="46.25" hidden="false" customHeight="false" outlineLevel="0" collapsed="false">
      <c r="A7" s="6" t="s">
        <v>46</v>
      </c>
      <c r="B7" s="5" t="s">
        <v>180</v>
      </c>
      <c r="C7" s="5" t="s">
        <v>205</v>
      </c>
      <c r="D7" s="6" t="s">
        <v>206</v>
      </c>
      <c r="E7" s="5" t="s">
        <v>207</v>
      </c>
      <c r="F7" s="15" t="n">
        <v>45808</v>
      </c>
      <c r="G7" s="6" t="s">
        <v>203</v>
      </c>
      <c r="H7" s="16" t="n">
        <v>12</v>
      </c>
      <c r="I7" s="19" t="n">
        <f aca="false">F7+1</f>
        <v>45809</v>
      </c>
      <c r="J7" s="19" t="n">
        <f aca="false">EDATE(I7,H7)-1</f>
        <v>46173</v>
      </c>
      <c r="K7" s="20" t="str">
        <f aca="false">TEXT(I7,"mm/dd/yyyy")&amp;" - "&amp;TEXT(J7,"mm/dd/yyyy")</f>
        <v>06/01/2025 - 05/31/2026</v>
      </c>
      <c r="L7" s="5" t="s">
        <v>208</v>
      </c>
    </row>
    <row r="8" customFormat="false" ht="68.65" hidden="false" customHeight="false" outlineLevel="0" collapsed="false">
      <c r="A8" s="13" t="s">
        <v>74</v>
      </c>
      <c r="B8" s="14" t="s">
        <v>182</v>
      </c>
      <c r="C8" s="14" t="s">
        <v>209</v>
      </c>
      <c r="D8" s="13" t="s">
        <v>201</v>
      </c>
      <c r="E8" s="14" t="s">
        <v>210</v>
      </c>
      <c r="F8" s="15" t="n">
        <v>45842</v>
      </c>
      <c r="G8" s="13" t="s">
        <v>211</v>
      </c>
      <c r="H8" s="16" t="n">
        <v>6</v>
      </c>
      <c r="I8" s="17" t="n">
        <f aca="false">F8+1</f>
        <v>45843</v>
      </c>
      <c r="J8" s="17" t="n">
        <f aca="false">EDATE(I8,H8)-1</f>
        <v>46026</v>
      </c>
      <c r="K8" s="18" t="str">
        <f aca="false">TEXT(I8,"mm/dd/yyyy")&amp;" - "&amp;TEXT(J8,"mm/dd/yyyy")</f>
        <v>07/05/2025 - 01/04/2026</v>
      </c>
      <c r="L8" s="14" t="s">
        <v>212</v>
      </c>
    </row>
    <row r="9" customFormat="false" ht="35.05" hidden="false" customHeight="false" outlineLevel="0" collapsed="false">
      <c r="A9" s="6" t="s">
        <v>97</v>
      </c>
      <c r="B9" s="5" t="s">
        <v>183</v>
      </c>
      <c r="C9" s="5" t="s">
        <v>213</v>
      </c>
      <c r="D9" s="6" t="s">
        <v>214</v>
      </c>
      <c r="E9" s="5" t="s">
        <v>215</v>
      </c>
      <c r="F9" s="15" t="n">
        <v>45842</v>
      </c>
      <c r="G9" s="6" t="s">
        <v>203</v>
      </c>
      <c r="H9" s="16" t="n">
        <v>12</v>
      </c>
      <c r="I9" s="19" t="n">
        <f aca="false">F9+1</f>
        <v>45843</v>
      </c>
      <c r="J9" s="19" t="n">
        <f aca="false">EDATE(I9,H9)-1</f>
        <v>46207</v>
      </c>
      <c r="K9" s="20" t="str">
        <f aca="false">TEXT(I9,"mm/dd/yyyy")&amp;" - "&amp;TEXT(J9,"mm/dd/yyyy")</f>
        <v>07/05/2025 - 07/04/2026</v>
      </c>
      <c r="L9" s="5" t="s">
        <v>216</v>
      </c>
    </row>
    <row r="10" customFormat="false" ht="35.05" hidden="false" customHeight="false" outlineLevel="0" collapsed="false">
      <c r="A10" s="6" t="s">
        <v>121</v>
      </c>
      <c r="B10" s="5" t="s">
        <v>184</v>
      </c>
      <c r="C10" s="5" t="s">
        <v>209</v>
      </c>
      <c r="D10" s="6" t="s">
        <v>201</v>
      </c>
      <c r="E10" s="5" t="s">
        <v>217</v>
      </c>
      <c r="F10" s="15" t="n">
        <v>45842</v>
      </c>
      <c r="G10" s="6" t="s">
        <v>203</v>
      </c>
      <c r="H10" s="16" t="n">
        <v>12</v>
      </c>
      <c r="I10" s="19" t="n">
        <f aca="false">F10+1</f>
        <v>45843</v>
      </c>
      <c r="J10" s="19" t="n">
        <f aca="false">EDATE(I10,H10)-1</f>
        <v>46207</v>
      </c>
      <c r="K10" s="20" t="str">
        <f aca="false">TEXT(I10,"mm/dd/yyyy")&amp;" - "&amp;TEXT(J10,"mm/dd/yyyy")</f>
        <v>07/05/2025 - 07/04/2026</v>
      </c>
      <c r="L10" s="5" t="s">
        <v>216</v>
      </c>
    </row>
    <row r="11" customFormat="false" ht="23.85" hidden="false" customHeight="false" outlineLevel="0" collapsed="false">
      <c r="A11" s="6" t="s">
        <v>144</v>
      </c>
      <c r="B11" s="5" t="s">
        <v>185</v>
      </c>
      <c r="C11" s="5" t="s">
        <v>205</v>
      </c>
      <c r="D11" s="6" t="s">
        <v>218</v>
      </c>
      <c r="E11" s="5" t="s">
        <v>219</v>
      </c>
      <c r="F11" s="15" t="n">
        <v>45808</v>
      </c>
      <c r="G11" s="6" t="s">
        <v>203</v>
      </c>
      <c r="H11" s="16" t="n">
        <v>12</v>
      </c>
      <c r="I11" s="19" t="n">
        <f aca="false">F11+1</f>
        <v>45809</v>
      </c>
      <c r="J11" s="19" t="n">
        <f aca="false">EDATE(I11,H11)-1</f>
        <v>46173</v>
      </c>
      <c r="K11" s="20" t="str">
        <f aca="false">TEXT(I11,"mm/dd/yyyy")&amp;" - "&amp;TEXT(J11,"mm/dd/yyyy")</f>
        <v>06/01/2025 - 05/31/2026</v>
      </c>
      <c r="L11" s="5" t="s">
        <v>220</v>
      </c>
    </row>
  </sheetData>
  <mergeCells count="2">
    <mergeCell ref="A2:K2"/>
    <mergeCell ref="A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40"/>
    <col collapsed="false" customWidth="true" hidden="false" outlineLevel="0" max="3" min="3" style="0" width="60"/>
    <col collapsed="false" customWidth="true" hidden="false" outlineLevel="0" max="4" min="4" style="0" width="55"/>
    <col collapsed="false" customWidth="true" hidden="false" outlineLevel="0" max="5" min="5" style="0" width="50"/>
  </cols>
  <sheetData>
    <row r="1" customFormat="false" ht="16.15" hidden="false" customHeight="false" outlineLevel="0" collapsed="false">
      <c r="A1" s="1" t="s">
        <v>221</v>
      </c>
    </row>
    <row r="3" customFormat="false" ht="15" hidden="false" customHeight="false" outlineLevel="0" collapsed="false">
      <c r="A3" s="3" t="s">
        <v>2</v>
      </c>
      <c r="B3" s="3" t="s">
        <v>222</v>
      </c>
      <c r="C3" s="3" t="s">
        <v>223</v>
      </c>
      <c r="D3" s="3" t="s">
        <v>224</v>
      </c>
      <c r="E3" s="3" t="s">
        <v>225</v>
      </c>
    </row>
    <row r="4" customFormat="false" ht="35.05" hidden="false" customHeight="false" outlineLevel="0" collapsed="false">
      <c r="A4" s="21" t="s">
        <v>13</v>
      </c>
      <c r="B4" s="5" t="s">
        <v>226</v>
      </c>
      <c r="C4" s="5" t="s">
        <v>227</v>
      </c>
      <c r="D4" s="5" t="s">
        <v>228</v>
      </c>
      <c r="E4" s="5" t="s">
        <v>229</v>
      </c>
    </row>
    <row r="5" customFormat="false" ht="35.05" hidden="false" customHeight="false" outlineLevel="0" collapsed="false">
      <c r="A5" s="21" t="s">
        <v>46</v>
      </c>
      <c r="B5" s="5" t="s">
        <v>226</v>
      </c>
      <c r="C5" s="5" t="s">
        <v>230</v>
      </c>
      <c r="D5" s="5" t="s">
        <v>231</v>
      </c>
      <c r="E5" s="5" t="s">
        <v>232</v>
      </c>
    </row>
    <row r="6" customFormat="false" ht="35.05" hidden="false" customHeight="false" outlineLevel="0" collapsed="false">
      <c r="A6" s="21" t="s">
        <v>74</v>
      </c>
      <c r="B6" s="5" t="s">
        <v>226</v>
      </c>
      <c r="C6" s="5" t="s">
        <v>233</v>
      </c>
      <c r="D6" s="5" t="s">
        <v>234</v>
      </c>
      <c r="E6" s="5" t="s">
        <v>235</v>
      </c>
    </row>
    <row r="7" customFormat="false" ht="35.05" hidden="false" customHeight="false" outlineLevel="0" collapsed="false">
      <c r="A7" s="21" t="s">
        <v>97</v>
      </c>
      <c r="B7" s="5" t="s">
        <v>226</v>
      </c>
      <c r="C7" s="5" t="s">
        <v>236</v>
      </c>
      <c r="D7" s="5" t="s">
        <v>237</v>
      </c>
      <c r="E7" s="5" t="s">
        <v>238</v>
      </c>
    </row>
    <row r="8" customFormat="false" ht="35.05" hidden="false" customHeight="false" outlineLevel="0" collapsed="false">
      <c r="A8" s="21" t="s">
        <v>121</v>
      </c>
      <c r="B8" s="5" t="s">
        <v>226</v>
      </c>
      <c r="C8" s="5" t="s">
        <v>239</v>
      </c>
      <c r="D8" s="5" t="s">
        <v>240</v>
      </c>
      <c r="E8" s="5" t="s">
        <v>241</v>
      </c>
    </row>
    <row r="9" customFormat="false" ht="46.25" hidden="false" customHeight="false" outlineLevel="0" collapsed="false">
      <c r="A9" s="21" t="s">
        <v>144</v>
      </c>
      <c r="B9" s="5" t="s">
        <v>226</v>
      </c>
      <c r="C9" s="5" t="s">
        <v>242</v>
      </c>
      <c r="D9" s="5" t="s">
        <v>243</v>
      </c>
      <c r="E9" s="5" t="s">
        <v>232</v>
      </c>
    </row>
    <row r="11" customFormat="false" ht="15" hidden="false" customHeight="false" outlineLevel="0" collapsed="false">
      <c r="A11" s="22" t="s">
        <v>244</v>
      </c>
    </row>
    <row r="12" customFormat="false" ht="30" hidden="false" customHeight="true" outlineLevel="0" collapsed="false">
      <c r="A12" s="23" t="s">
        <v>245</v>
      </c>
      <c r="B12" s="23"/>
      <c r="C12" s="23"/>
      <c r="D12" s="23"/>
      <c r="E12" s="23"/>
    </row>
    <row r="13" customFormat="false" ht="30" hidden="false" customHeight="true" outlineLevel="0" collapsed="false">
      <c r="A13" s="23" t="s">
        <v>246</v>
      </c>
      <c r="B13" s="23"/>
      <c r="C13" s="23"/>
      <c r="D13" s="23"/>
      <c r="E13" s="23"/>
    </row>
    <row r="14" customFormat="false" ht="30" hidden="false" customHeight="true" outlineLevel="0" collapsed="false">
      <c r="A14" s="23" t="s">
        <v>247</v>
      </c>
      <c r="B14" s="23"/>
      <c r="C14" s="23"/>
      <c r="D14" s="23"/>
      <c r="E14" s="23"/>
    </row>
    <row r="15" customFormat="false" ht="30" hidden="false" customHeight="true" outlineLevel="0" collapsed="false">
      <c r="A15" s="23" t="s">
        <v>248</v>
      </c>
      <c r="B15" s="23"/>
      <c r="C15" s="23"/>
      <c r="D15" s="23"/>
      <c r="E15" s="23"/>
    </row>
  </sheetData>
  <mergeCells count="4">
    <mergeCell ref="A12:E12"/>
    <mergeCell ref="A13:E13"/>
    <mergeCell ref="A14:E14"/>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2026-10-16T15:55:05Z</dcterms:created>
  <dc:creator>openpyxl</dc:creator>
  <dc:description/>
  <dc:language>en-US</dc:language>
  <cp:lastModifiedBy/>
  <dcterms:modified xsi:type="dcterms:W3CDTF">2026-10-16T15:55:05Z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